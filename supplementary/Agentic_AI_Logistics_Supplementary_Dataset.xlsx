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DocumentosDesktop\1-IFRS\#ProjetoSpark\Revisao Sistematica\lit_review_pipeline_clean_updated_ver\LiteraturaReviewPipeline\supplementary\"/>
    </mc:Choice>
  </mc:AlternateContent>
  <xr:revisionPtr revIDLastSave="0" documentId="13_ncr:1_{C5215F10-D871-4E99-AA88-3B235A4B16E3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ead Me" sheetId="1" r:id="rId1"/>
    <sheet name="Selection Flow" sheetId="2" r:id="rId2"/>
    <sheet name="Primary Studies" sheetId="3" r:id="rId3"/>
    <sheet name="Study Classifications" sheetId="4" r:id="rId4"/>
    <sheet name="Quality Assessment" sheetId="5" r:id="rId5"/>
    <sheet name="QA Criteria" sheetId="6" r:id="rId6"/>
    <sheet name="Analytical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7" l="1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P38" i="5"/>
  <c r="O38" i="5"/>
  <c r="Q38" i="5" s="1"/>
  <c r="P37" i="5"/>
  <c r="O37" i="5"/>
  <c r="Q37" i="5" s="1"/>
  <c r="P36" i="5"/>
  <c r="O36" i="5"/>
  <c r="Q36" i="5" s="1"/>
  <c r="P35" i="5"/>
  <c r="O35" i="5"/>
  <c r="P34" i="5"/>
  <c r="O34" i="5"/>
  <c r="P33" i="5"/>
  <c r="O33" i="5"/>
  <c r="Q33" i="5" s="1"/>
  <c r="P32" i="5"/>
  <c r="O32" i="5"/>
  <c r="P31" i="5"/>
  <c r="O31" i="5"/>
  <c r="Q31" i="5" s="1"/>
  <c r="R31" i="5" s="1"/>
  <c r="P30" i="5"/>
  <c r="O30" i="5"/>
  <c r="Q30" i="5" s="1"/>
  <c r="R30" i="5" s="1"/>
  <c r="P29" i="5"/>
  <c r="O29" i="5"/>
  <c r="Q29" i="5" s="1"/>
  <c r="R29" i="5" s="1"/>
  <c r="P28" i="5"/>
  <c r="O28" i="5"/>
  <c r="Q28" i="5" s="1"/>
  <c r="R28" i="5" s="1"/>
  <c r="P27" i="5"/>
  <c r="O27" i="5"/>
  <c r="Q27" i="5" s="1"/>
  <c r="R27" i="5" s="1"/>
  <c r="P26" i="5"/>
  <c r="O26" i="5"/>
  <c r="P25" i="5"/>
  <c r="O25" i="5"/>
  <c r="Q25" i="5" s="1"/>
  <c r="R25" i="5" s="1"/>
  <c r="P24" i="5"/>
  <c r="O24" i="5"/>
  <c r="Q24" i="5" s="1"/>
  <c r="R24" i="5" s="1"/>
  <c r="P23" i="5"/>
  <c r="O23" i="5"/>
  <c r="Q23" i="5" s="1"/>
  <c r="R23" i="5" s="1"/>
  <c r="P22" i="5"/>
  <c r="O22" i="5"/>
  <c r="Q22" i="5" s="1"/>
  <c r="R22" i="5" s="1"/>
  <c r="P21" i="5"/>
  <c r="O21" i="5"/>
  <c r="Q21" i="5" s="1"/>
  <c r="R21" i="5" s="1"/>
  <c r="P20" i="5"/>
  <c r="O20" i="5"/>
  <c r="Q20" i="5" s="1"/>
  <c r="R20" i="5" s="1"/>
  <c r="P19" i="5"/>
  <c r="O19" i="5"/>
  <c r="P18" i="5"/>
  <c r="O18" i="5"/>
  <c r="Q18" i="5" s="1"/>
  <c r="R18" i="5" s="1"/>
  <c r="P17" i="5"/>
  <c r="O17" i="5"/>
  <c r="Q17" i="5" s="1"/>
  <c r="R17" i="5" s="1"/>
  <c r="P16" i="5"/>
  <c r="O16" i="5"/>
  <c r="Q16" i="5" s="1"/>
  <c r="R16" i="5" s="1"/>
  <c r="P15" i="5"/>
  <c r="O15" i="5"/>
  <c r="Q15" i="5" s="1"/>
  <c r="R15" i="5" s="1"/>
  <c r="P14" i="5"/>
  <c r="O14" i="5"/>
  <c r="Q14" i="5" s="1"/>
  <c r="R14" i="5" s="1"/>
  <c r="P13" i="5"/>
  <c r="O13" i="5"/>
  <c r="Q13" i="5" s="1"/>
  <c r="R13" i="5" s="1"/>
  <c r="P12" i="5"/>
  <c r="O12" i="5"/>
  <c r="P11" i="5"/>
  <c r="O11" i="5"/>
  <c r="P10" i="5"/>
  <c r="O10" i="5"/>
  <c r="Q10" i="5" s="1"/>
  <c r="R10" i="5" s="1"/>
  <c r="P9" i="5"/>
  <c r="O9" i="5"/>
  <c r="Q9" i="5" s="1"/>
  <c r="R9" i="5" s="1"/>
  <c r="P8" i="5"/>
  <c r="O8" i="5"/>
  <c r="Q8" i="5" s="1"/>
  <c r="R8" i="5" s="1"/>
  <c r="P7" i="5"/>
  <c r="O7" i="5"/>
  <c r="Q7" i="5" s="1"/>
  <c r="R7" i="5" s="1"/>
  <c r="P6" i="5"/>
  <c r="O6" i="5"/>
  <c r="Q6" i="5" s="1"/>
  <c r="R6" i="5" s="1"/>
  <c r="P5" i="5"/>
  <c r="O5" i="5"/>
  <c r="P4" i="5"/>
  <c r="O4" i="5"/>
  <c r="Q4" i="5" s="1"/>
  <c r="R4" i="5" s="1"/>
  <c r="P3" i="5"/>
  <c r="O3" i="5"/>
  <c r="Q3" i="5" s="1"/>
  <c r="R3" i="5" s="1"/>
  <c r="P2" i="5"/>
  <c r="O2" i="5"/>
  <c r="Q2" i="5" s="1"/>
  <c r="R2" i="5" s="1"/>
  <c r="Q35" i="5" l="1"/>
  <c r="Q32" i="5"/>
  <c r="Q34" i="5"/>
  <c r="Q11" i="5"/>
  <c r="R11" i="5" s="1"/>
  <c r="Q26" i="5"/>
  <c r="R26" i="5" s="1"/>
  <c r="Q19" i="5"/>
  <c r="R19" i="5" s="1"/>
  <c r="Q12" i="5"/>
  <c r="R12" i="5" s="1"/>
  <c r="Q5" i="5"/>
  <c r="R5" i="5" s="1"/>
  <c r="R38" i="5"/>
  <c r="N38" i="3" s="1"/>
  <c r="M38" i="3"/>
  <c r="R37" i="5"/>
  <c r="N37" i="3" s="1"/>
  <c r="M37" i="3"/>
  <c r="R36" i="5"/>
  <c r="N36" i="3" s="1"/>
  <c r="M36" i="3"/>
  <c r="R33" i="5"/>
  <c r="N33" i="3" s="1"/>
  <c r="M33" i="3"/>
  <c r="R35" i="5" l="1"/>
  <c r="N35" i="3" s="1"/>
  <c r="M35" i="3"/>
  <c r="M32" i="3"/>
  <c r="R32" i="5"/>
  <c r="N32" i="3" s="1"/>
  <c r="M34" i="3"/>
  <c r="R34" i="5"/>
  <c r="N34" i="3" s="1"/>
</calcChain>
</file>

<file path=xl/sharedStrings.xml><?xml version="1.0" encoding="utf-8"?>
<sst xmlns="http://schemas.openxmlformats.org/spreadsheetml/2006/main" count="1065" uniqueCount="571">
  <si>
    <t>Agentic AI in Logistics Operations: Supplementary Review Dataset</t>
  </si>
  <si>
    <t>Purpose</t>
  </si>
  <si>
    <t>Reviewer-facing dataset supporting the systematic literature review and its study-level taxonomies.</t>
  </si>
  <si>
    <t>Corpus</t>
  </si>
  <si>
    <t>37 primary studies (S01–S37) retained from 23,116 records retrieved through the consolidated search and selection process.</t>
  </si>
  <si>
    <t>Observation window</t>
  </si>
  <si>
    <t>January 2016 through 15 October 2026. No eligible study published before 2024 was retained.</t>
  </si>
  <si>
    <t>Coding principle</t>
  </si>
  <si>
    <t>Logistics operations, paradigms, architectures, and capabilities are multi-label dimensions. Primary operation, primary paradigm, dominant topology, confirmed autonomy, and evidence maturity use one final classification per study.</t>
  </si>
  <si>
    <t>Capabilities</t>
  </si>
  <si>
    <t>Only capabilities confirmed during full-text reading are counted as demonstrated. S06 is conceptual and therefore has no demonstrated capability-family assignment.</t>
  </si>
  <si>
    <t>Autonomy</t>
  </si>
  <si>
    <t>Levels represent demonstrated decision authority: L3 decision support; L4 supervised execution; L5 conditional autonomy; L6 full operational autonomy.</t>
  </si>
  <si>
    <t>Evidence maturity</t>
  </si>
  <si>
    <t>EM1 prototype/PoC; EM2 controlled experiment, simulation, benchmark, or synthetic data; EM3 real/historical data; EM4 real-world pilot or case study; EM5 operational deployment.</t>
  </si>
  <si>
    <t>Quality score</t>
  </si>
  <si>
    <t>QA1–QA12 are scored 1 (yes), 0.5 (partial), 0 (no), or N/A. Quality score = sum of applicable scores / number of applicable criteria × 100.</t>
  </si>
  <si>
    <t>Quality classes</t>
  </si>
  <si>
    <t>Low: &lt;40%; Moderate: 40%–69.9%; High: ≥70%. Methodological quality and evidence maturity are distinct constructs.</t>
  </si>
  <si>
    <t>Source identifiers</t>
  </si>
  <si>
    <t>Study IDs S01–S37 match the manuscript tables and figures. Internal record identifiers are retained solely for traceability to the source-level screening logs.</t>
  </si>
  <si>
    <t>Files not redistributed</t>
  </si>
  <si>
    <t>Full texts are not included because they remain subject to publisher copyright and access conditions. DOI/URL metadata are provided in the Primary Studies sheet.</t>
  </si>
  <si>
    <t>Version note</t>
  </si>
  <si>
    <t>This public workbook contains the final classifications for the 37-study corpus and omits internal working notes, preliminary suggestions, and superseded counts.</t>
  </si>
  <si>
    <t>Stage</t>
  </si>
  <si>
    <t>Records entering</t>
  </si>
  <si>
    <t>Records excluded</t>
  </si>
  <si>
    <t>Records remaining</t>
  </si>
  <si>
    <t>Criterion or action</t>
  </si>
  <si>
    <t>Evidence source</t>
  </si>
  <si>
    <t>Initial search — nine bibliographic sources</t>
  </si>
  <si>
    <t>Complete search string adapted only to source syntax</t>
  </si>
  <si>
    <t>Consolidated search log</t>
  </si>
  <si>
    <t>Preliminary filtering</t>
  </si>
  <si>
    <t>Date, document type, language, venue, retraction, and metadata checks</t>
  </si>
  <si>
    <t>Pipeline records</t>
  </si>
  <si>
    <t>Title screening</t>
  </si>
  <si>
    <t>Fixed title-screening instructions based on the eligibility criteria</t>
  </si>
  <si>
    <t>Post-title integrity and document-form check</t>
  </si>
  <si>
    <t>Document integrity, publication status, and form checks</t>
  </si>
  <si>
    <t>Abstract screening</t>
  </si>
  <si>
    <t>Fixed abstract-screening instructions based on the eligibility criteria</t>
  </si>
  <si>
    <t>Combination and deduplication</t>
  </si>
  <si>
    <t>Normalized DOI, title, authorship, and publication metadata</t>
  </si>
  <si>
    <t>Manual recall check</t>
  </si>
  <si>
    <t>Three heuristic candidate lists; seven records restored</t>
  </si>
  <si>
    <t>Manual recall-check log</t>
  </si>
  <si>
    <t>Short-document assessment</t>
  </si>
  <si>
    <t>EC2 — insufficient research content</t>
  </si>
  <si>
    <t>Consolidated review log</t>
  </si>
  <si>
    <t>Extended-abstract eligibility assessment</t>
  </si>
  <si>
    <t>EC3–EC6 applied to the available abstract information</t>
  </si>
  <si>
    <t>Substantive agentic-component assessment</t>
  </si>
  <si>
    <t>EC5/EC12 — substantive agency</t>
  </si>
  <si>
    <t>Software- and operations-level contribution assessment</t>
  </si>
  <si>
    <t>EC11/EC12 — operational and transferable contribution</t>
  </si>
  <si>
    <t>Manual Three-Pass reading</t>
  </si>
  <si>
    <t>EC12 — no transferable agentic contribution</t>
  </si>
  <si>
    <t>Manual review log</t>
  </si>
  <si>
    <t>Full-text eligibility assessment</t>
  </si>
  <si>
    <t>Complete eligibility criteria applied through manual full-text reading</t>
  </si>
  <si>
    <t>Full-text coding records</t>
  </si>
  <si>
    <t>Modern agentic-capability gate</t>
  </si>
  <si>
    <t>At least one modern agentic capability in the system core</t>
  </si>
  <si>
    <t>Final agentic-paradigm confirmation</t>
  </si>
  <si>
    <t>Substantive agentic paradigm confirmed through full-text reading</t>
  </si>
  <si>
    <t>FINAL PRIMARY-STUDY CORPUS</t>
  </si>
  <si>
    <t>All eligibility criteria satisfied</t>
  </si>
  <si>
    <t>Primary-study dataset</t>
  </si>
  <si>
    <t>Study ID</t>
  </si>
  <si>
    <t>Year</t>
  </si>
  <si>
    <t>Title</t>
  </si>
  <si>
    <t>Retained source</t>
  </si>
  <si>
    <t>Publication venue</t>
  </si>
  <si>
    <t>DOI or URL</t>
  </si>
  <si>
    <t>Primary logistics-operation family</t>
  </si>
  <si>
    <t>Primary operation</t>
  </si>
  <si>
    <t>Primary agentic paradigm</t>
  </si>
  <si>
    <t>Dominant architectural topology</t>
  </si>
  <si>
    <t>Confirmed autonomy</t>
  </si>
  <si>
    <t>Quality score (%)</t>
  </si>
  <si>
    <t>Quality class</t>
  </si>
  <si>
    <t>Selection status</t>
  </si>
  <si>
    <t>S01</t>
  </si>
  <si>
    <t>Operationalizing Generative and Agentic AI Across Complex Logistics Networks: Architecture, Governance, and Trust Models</t>
  </si>
  <si>
    <t>ieee_xplore</t>
  </si>
  <si>
    <t>2026 ASU International Conference in Emerging Technologies for Sustainability and Intelligent Systems (ICETSIS)</t>
  </si>
  <si>
    <t>https://ieeexplore.ieee.org/document/11549394/</t>
  </si>
  <si>
    <t>Planning, sourcing, and network design</t>
  </si>
  <si>
    <t>Supply chain planning</t>
  </si>
  <si>
    <t>Mixed intelligent-agent system</t>
  </si>
  <si>
    <t>Hybrid distributed and governed</t>
  </si>
  <si>
    <t>L5 — Conditional autonomy</t>
  </si>
  <si>
    <t>EM2 — Experimental (simulation / benchmark / synthetic data)</t>
  </si>
  <si>
    <t>Moderate</t>
  </si>
  <si>
    <t>Included after full-text eligibility assessment</t>
  </si>
  <si>
    <t>S02</t>
  </si>
  <si>
    <t>RMAS: Risk Mitigation Agent System, An Autonomous Framework for Real-Time Supply Chain Risk Management</t>
  </si>
  <si>
    <t>IEEE Engineering Management Review</t>
  </si>
  <si>
    <t>https://ieeexplore.ieee.org/document/11538978/</t>
  </si>
  <si>
    <t>Supply chain risk management</t>
  </si>
  <si>
    <t>LLM-centered agent system</t>
  </si>
  <si>
    <t>Hierarchical or orchestrated</t>
  </si>
  <si>
    <t>High</t>
  </si>
  <si>
    <t>S03</t>
  </si>
  <si>
    <t>Embodied Intelligent Agents for Adaptive Logistics Scheduling in Power Equipment Supply Networks</t>
  </si>
  <si>
    <t>2026 2nd International Symposium on AI-Driven Engineering Systems (ISADES)</t>
  </si>
  <si>
    <t>https://ieeexplore.ieee.org/document/11608150/</t>
  </si>
  <si>
    <t>Hybrid LLM and symbolic or analytical system</t>
  </si>
  <si>
    <t>L6 — Full operational autonomy</t>
  </si>
  <si>
    <t>S04</t>
  </si>
  <si>
    <t>Engineering Guided Determinism in Neuro-Symbolic Agents: A Comparative Study of Orchestration Strategies for Supply Chain Replenishment</t>
  </si>
  <si>
    <t>2026 IEEE 50th Annual Computers, Software, and Applications Conference (COMPSAC)</t>
  </si>
  <si>
    <t>https://ieeexplore.ieee.org/document/11645263/</t>
  </si>
  <si>
    <t>Inventory and internal logistics</t>
  </si>
  <si>
    <t>Inventory management</t>
  </si>
  <si>
    <t>S05</t>
  </si>
  <si>
    <t>Agentic artificial intelligence of things (AIoT) for just-in-time (JIT) logistics and supply chain: a case of modular construction</t>
  </si>
  <si>
    <t>openalex</t>
  </si>
  <si>
    <t>International Journal of Logistics Research and Applications</t>
  </si>
  <si>
    <t>https://openalex.org/W7133835417</t>
  </si>
  <si>
    <t>RL-centered multi-agent system</t>
  </si>
  <si>
    <t>Decentralized</t>
  </si>
  <si>
    <t>EM5 — Operational deployment</t>
  </si>
  <si>
    <t>S06</t>
  </si>
  <si>
    <t>Drivers and constraints of agentic AI in supply chain management: an exploratory study</t>
  </si>
  <si>
    <t>International Journal of Production Research</t>
  </si>
  <si>
    <t>https://openalex.org/W7161700378</t>
  </si>
  <si>
    <t>Conceptual or process-centric</t>
  </si>
  <si>
    <t>L4 — Supervised execution</t>
  </si>
  <si>
    <t>EM4 — Real-world pilot or case study</t>
  </si>
  <si>
    <t>S07</t>
  </si>
  <si>
    <t>“Cognitive Sandwich” architecture for LLM agents in logistics</t>
  </si>
  <si>
    <t>Digitalen Hochschulbibliothek Sachsen-Anhalt (Universitäts- und Landesbibliothek Sachsen-Anhalt)</t>
  </si>
  <si>
    <t>https://openalex.org/W7165113993</t>
  </si>
  <si>
    <t>Transportation and distribution</t>
  </si>
  <si>
    <t>Routing</t>
  </si>
  <si>
    <t>S08</t>
  </si>
  <si>
    <t>Operational Resilience Under Carbon Constraints: A Socio-Technical Multi-Agentic Approach to Global Supply Chains</t>
  </si>
  <si>
    <t>Systems</t>
  </si>
  <si>
    <t>https://openalex.org/W7147895552</t>
  </si>
  <si>
    <t>L3 — Decision support</t>
  </si>
  <si>
    <t>EM3 — Real or historical data</t>
  </si>
  <si>
    <t>S09</t>
  </si>
  <si>
    <t>Automatic Risk-Conscious Hyperconnected Logistics Location Selection via LLM-Based Multi-Agent Systems</t>
  </si>
  <si>
    <t>Open MIND</t>
  </si>
  <si>
    <t>https://openalex.org/W7168649530</t>
  </si>
  <si>
    <t>Location selection</t>
  </si>
  <si>
    <t>S10</t>
  </si>
  <si>
    <t>Agentic AI for Demand Forecasting and Planning: Autonomous Market Sensing and Adaptive Planning</t>
  </si>
  <si>
    <t>https://openalex.org/W7155182214</t>
  </si>
  <si>
    <t>S11</t>
  </si>
  <si>
    <t>Multi-agent deep reinforcement learning for ordering and inventory allocation in a decentralized two-echelon dual-channel supply chain</t>
  </si>
  <si>
    <t>scopus</t>
  </si>
  <si>
    <t>International Journal of Production Economics</t>
  </si>
  <si>
    <t>https://www.scopus.com/inward/record.uri?partnerID=HzOxMe3b&amp;scp=105038448250&amp;origin=inward</t>
  </si>
  <si>
    <t>EM4 — Real-world data with simulation or benchmarking</t>
  </si>
  <si>
    <t>S12</t>
  </si>
  <si>
    <t>Structuring the Last Mile with ReActV: Tool-Augmented Delivery Planning with Verification</t>
  </si>
  <si>
    <t>acm_dl</t>
  </si>
  <si>
    <t>Companion Publication of the 2026 18th ACM Web Science Conference</t>
  </si>
  <si>
    <t>https://doi.org/10.1145/3795513.3810458</t>
  </si>
  <si>
    <t>Last-mile delivery</t>
  </si>
  <si>
    <t>S13</t>
  </si>
  <si>
    <t>LogiFusion: a semantic-kinetic-dynamic expert system for closed-loop intralogistics decision intelligence</t>
  </si>
  <si>
    <t>sciencedirect</t>
  </si>
  <si>
    <t>Expert Systems with Applications</t>
  </si>
  <si>
    <t>https://www.sciencedirect.com/science/article/pii/S0957417426000618</t>
  </si>
  <si>
    <t>Intralogistics</t>
  </si>
  <si>
    <t>S14</t>
  </si>
  <si>
    <t>Towards an Agentic AI-Enabled Blockchain-Based Fish Supply Chain Using Hyperledger Fabric</t>
  </si>
  <si>
    <t>Electronics Switzerland</t>
  </si>
  <si>
    <t>https://www.scopus.com/inward/record.uri?partnerID=HzOxMe3b&amp;scp=105038580626&amp;origin=inward</t>
  </si>
  <si>
    <t>Operational assurance and asset support</t>
  </si>
  <si>
    <t>Traceability</t>
  </si>
  <si>
    <t>Reactive or condition-triggered agent system</t>
  </si>
  <si>
    <t>EM1 — Illustrative prototype / proof of concept</t>
  </si>
  <si>
    <t>S15</t>
  </si>
  <si>
    <t>SCSimulator: An Exploratory Visual Analytics Framework for Partner Selection in Supply Chains through LLM-driven Multi-Agent Simulation</t>
  </si>
  <si>
    <t>Proceedings of the 31st International Conference on Intelligent User Interfaces</t>
  </si>
  <si>
    <t>https://doi.org/10.1145/3742413.3789061</t>
  </si>
  <si>
    <t>Partner selection</t>
  </si>
  <si>
    <t>S16</t>
  </si>
  <si>
    <t>Leveraging large language models to enhance multi-agent risk assessment in supply chain networks</t>
  </si>
  <si>
    <t>web_of_science</t>
  </si>
  <si>
    <t>INTERNATIONAL JOURNAL OF PRODUCTION RESEARCH</t>
  </si>
  <si>
    <t>https://doi.org/10.1080/00207543.2026.2619562</t>
  </si>
  <si>
    <t>S17</t>
  </si>
  <si>
    <t>An LLM-empowered collaborative multi-agent framework for intermittent demand forecasting of large-scale spare parts in smart manufacturing</t>
  </si>
  <si>
    <t>Knowledge-Based Systems</t>
  </si>
  <si>
    <t>https://www.sciencedirect.com/science/article/pii/S0950705126010609</t>
  </si>
  <si>
    <t>Demand forecasting</t>
  </si>
  <si>
    <t>S18</t>
  </si>
  <si>
    <t>From text to slot: a multi-agent framework for terminal-oriented container stowage planning via large language models</t>
  </si>
  <si>
    <t>Artificial Intelligence for Transportation</t>
  </si>
  <si>
    <t>https://www.sciencedirect.com/science/article/pii/S3050860626000177</t>
  </si>
  <si>
    <t>Stowage planning</t>
  </si>
  <si>
    <t>S19</t>
  </si>
  <si>
    <t>A Blockchain-Monitored Agentic AI Architecture for Trusted Perception–Reasoning–Action Pipelines</t>
  </si>
  <si>
    <t>2025 International Conference on Computer and Applications (ICCA)</t>
  </si>
  <si>
    <t>https://ieeexplore.ieee.org/document/11430865/</t>
  </si>
  <si>
    <t>S20</t>
  </si>
  <si>
    <t>Decentralized pricing in supply chain management: a blockchain-enabled multi-agent Reinforcement Learning approach</t>
  </si>
  <si>
    <t>2025 11th International Conference on Control, Decision and Information Technologies (CoDIT)</t>
  </si>
  <si>
    <t>https://ieeexplore.ieee.org/document/11321740/</t>
  </si>
  <si>
    <t>S21</t>
  </si>
  <si>
    <t>A Retrieval-Augmented Generation (RAG)-Based LLM for Modern Warehouse Automation and Management</t>
  </si>
  <si>
    <t>2025 IEEE 21st International Conference on Automation Science and Engineering (CASE)</t>
  </si>
  <si>
    <t>https://ieeexplore.ieee.org/document/11164106/</t>
  </si>
  <si>
    <t>Warehousing</t>
  </si>
  <si>
    <t>Centralized</t>
  </si>
  <si>
    <t>S22</t>
  </si>
  <si>
    <t>Leveraging Multi-agent System Powered by Large Language Model to Improve Transparency and Reliability in Automated Supply Chain Coordination</t>
  </si>
  <si>
    <t>Annual Conference of the International Group for Lean Construction</t>
  </si>
  <si>
    <t>https://openalex.org/W4414549039</t>
  </si>
  <si>
    <t>S23</t>
  </si>
  <si>
    <t>AISA–L: An Agentic AI Strategy Architecture for Real-Time KPI Orchestration in Sustainable, Resilient Airline Logistics</t>
  </si>
  <si>
    <t>Zenodo (CERN European Organization for Nuclear Research)</t>
  </si>
  <si>
    <t>https://openalex.org/W7118733767</t>
  </si>
  <si>
    <t>S24</t>
  </si>
  <si>
    <t>Towards the Autonomous Optimization of Urban Logistics: Training Generative AI with Scientific Tools via Agentic Digital Twins and Model Context Protocol</t>
  </si>
  <si>
    <t>arXiv (Cornell University)</t>
  </si>
  <si>
    <t>https://openalex.org/W4415070725</t>
  </si>
  <si>
    <t>S25</t>
  </si>
  <si>
    <t>AI Strategy Agent for Airline Logistics: A Multi-Layered, KPI-Governed Architecture for Real-Time Optimization and Ethical Orchestration</t>
  </si>
  <si>
    <t>https://openalex.org/W7119491354</t>
  </si>
  <si>
    <t>S26</t>
  </si>
  <si>
    <t>Dynamic Inventory Optimization through Reinforcement Learning in Decentralized, Globally Distributed Manufacturing Supply Ecosystems</t>
  </si>
  <si>
    <t>International Journal of Computer Applications Technology and Research</t>
  </si>
  <si>
    <t>https://openalex.org/W4409562279</t>
  </si>
  <si>
    <t>S27</t>
  </si>
  <si>
    <t>Intelligent port logistics: A spatiotemporal knowledge graph and AI-agent framework for berth allocation</t>
  </si>
  <si>
    <t>Advanced Engineering Informatics</t>
  </si>
  <si>
    <t>https://www.sciencedirect.com/science/article/pii/S1474034625005269</t>
  </si>
  <si>
    <t>Berth allocation</t>
  </si>
  <si>
    <t>S28</t>
  </si>
  <si>
    <t>Integrating LLMs and Classical Planning for Pallet Logistics: A Case Study</t>
  </si>
  <si>
    <t>IFAC-PapersOnLine</t>
  </si>
  <si>
    <t>https://www.sciencedirect.com/science/article/pii/S2405896325016362</t>
  </si>
  <si>
    <t>Pallet movement</t>
  </si>
  <si>
    <t>S29</t>
  </si>
  <si>
    <t>Securing Smart Supply Chains with Adaptive AI Agents: A Virtual Simulation Framework</t>
  </si>
  <si>
    <t>Proceeding 12th International Conference on Information Technology Innovation Technologies Icit 2025</t>
  </si>
  <si>
    <t>https://www.scopus.com/inward/record.uri?partnerID=HzOxMe3b&amp;scp=105011953453&amp;origin=inward</t>
  </si>
  <si>
    <t>Supply chain cybersecurity</t>
  </si>
  <si>
    <t>S30</t>
  </si>
  <si>
    <t>Optimizing Inventory Management using a Multi-Agent LLM System</t>
  </si>
  <si>
    <t>Proceedings of the International Conference on Electronic Business Iceb</t>
  </si>
  <si>
    <t>https://www.scopus.com/inward/record.uri?partnerID=HzOxMe3b&amp;scp=85213378512&amp;origin=inward</t>
  </si>
  <si>
    <t>S31</t>
  </si>
  <si>
    <t>Generative AI-based optimization for high-mix warehouses: Integrating agentic LLMs and discrete event simulation</t>
  </si>
  <si>
    <t>Computers &amp; Industrial Engineering</t>
  </si>
  <si>
    <t>https://doi.org/10.1016/j.cie.2026.111884</t>
  </si>
  <si>
    <t>S32</t>
  </si>
  <si>
    <t>RationalChain: A Neuro-Symbolic Framework for Explainable Autonomous Negotiation in Supply Chains</t>
  </si>
  <si>
    <t>2026 10th International Conference on Computing, Communication, Control &amp; Automation (ICCUBEA)</t>
  </si>
  <si>
    <t>https://doi.org/10.1109/ICCUBEA69821.2026.11702045</t>
  </si>
  <si>
    <t>Purchasing</t>
  </si>
  <si>
    <t>S33</t>
  </si>
  <si>
    <t>Thinking in transit: integrating LLMs and multi-agent systems for agile port-centred container logistics</t>
  </si>
  <si>
    <t>Array</t>
  </si>
  <si>
    <t>https://doi.org/10.1016/j.array.2026.101213</t>
  </si>
  <si>
    <t>Transportation</t>
  </si>
  <si>
    <t>S34</t>
  </si>
  <si>
    <t>Evolutionary-assisted multi-agent reinforcement learning for waste electrical and electronic equipment inventory optimization under uncertainty</t>
  </si>
  <si>
    <t>Engineering Applications of Artificial Intelligence</t>
  </si>
  <si>
    <t>https://doi.org/10.1016/j.engappai.2026.116478</t>
  </si>
  <si>
    <t>S35</t>
  </si>
  <si>
    <t>A multi-agent reinforcement learning approach for dynamic supply–demand matching under time variant supply chain topology</t>
  </si>
  <si>
    <t>https://doi.org/10.1016/j.cie.2026.112415</t>
  </si>
  <si>
    <t>Supplier selection</t>
  </si>
  <si>
    <t>S36</t>
  </si>
  <si>
    <t>Smart contracts and AI agents for secure last-mile pharmaceutical delivery through crowdsourcing</t>
  </si>
  <si>
    <t>Discover Artificial Intelligence</t>
  </si>
  <si>
    <t>https://openalex.org/W7212254810</t>
  </si>
  <si>
    <t>S37</t>
  </si>
  <si>
    <t>A Multi-agent Methodology and Decision-support Toolset for Grain Marketplace Platforms: Coordinating Trade, Transport, and Warehouse Logistics in Agri-food Economic Systems</t>
  </si>
  <si>
    <t>International Journal of Intelligent Engineering and Systems</t>
  </si>
  <si>
    <t>https://www.scopus.com/inward/record.uri?partnerID=HzOxMe3b&amp;scp=105047709702&amp;origin=inward</t>
  </si>
  <si>
    <t>Logistics operations (multi-label)</t>
  </si>
  <si>
    <t>Agentic paradigms and architectures (multi-label)</t>
  </si>
  <si>
    <t>Modern agentic capabilities demonstrated</t>
  </si>
  <si>
    <t>Classical agent capabilities demonstrated</t>
  </si>
  <si>
    <t>Systems, tools, and data technologies</t>
  </si>
  <si>
    <t>LLM or base model</t>
  </si>
  <si>
    <t>Evaluation metrics</t>
  </si>
  <si>
    <t>Direct baseline</t>
  </si>
  <si>
    <t>Inventory management; Freight; Fleet management; Supply chain planning; Routing; Transportation</t>
  </si>
  <si>
    <t>Intelligent agent; Agentic AI; Decentralized architecture; Multi-agent system</t>
  </si>
  <si>
    <t>Planning; Replanning; Orchestration</t>
  </si>
  <si>
    <t>Learning; Communication; Coordination; Perception; Decision-making</t>
  </si>
  <si>
    <t>knowledge graph/database; LLMs; optimizers; simulation</t>
  </si>
  <si>
    <t>Not specified</t>
  </si>
  <si>
    <t>accuracy; cost; robustness and scale; response time; coordination; risk mitigation</t>
  </si>
  <si>
    <t>Yes</t>
  </si>
  <si>
    <t>Warehousing; Purchasing; Distribution; Inventory management; Freight; Supply chain planning; Transportation</t>
  </si>
  <si>
    <t>Intelligent agent; Agentic AI; Hierarchical architecture; LLM-based agent; Multi-agent system</t>
  </si>
  <si>
    <t>Tool use; Planning; Memory; Orchestration; Replanning</t>
  </si>
  <si>
    <t>Communication; Coordination; Perception; Decision-making</t>
  </si>
  <si>
    <t>APIs; Drools; ERP; Kafka; Kubernetes; Neo4j; Opensearch; Optaplanner; Postgresql; Redis; simulation; Temporal; TMS; WMS</t>
  </si>
  <si>
    <t>LLM accessed through an API; model not reported; 4,096-token context window</t>
  </si>
  <si>
    <t>cost; Fill Rate; service level; robustness and scale; response time; Throughput; human acceptance; simulation accuracy</t>
  </si>
  <si>
    <t>Warehousing; Distribution; Inventory management; Fleet management; Supply chain planning; Routing; Transportation</t>
  </si>
  <si>
    <t>Intelligent agent; Hierarchical architecture; LLM-based agent; Reinforcement-learning agent; Multi-agent system</t>
  </si>
  <si>
    <t>Tool use; Planning; Replanning; Memory; Orchestration</t>
  </si>
  <si>
    <t>Task allocation; Learning; Communication; Coordination; Negotiation; Perception; Decision-making</t>
  </si>
  <si>
    <t>APIs; Digital Twin; Ecp; LLMs; Pytorch; Ray Rllib; simulation; VLA</t>
  </si>
  <si>
    <t>LLM cluster; DeepSeek and Qwen are mentioned as options, but the deployed model is not identified unambiguously</t>
  </si>
  <si>
    <t>cost; energy use and emissions; service level; response time; utilization; operational damage; loading/unloading time</t>
  </si>
  <si>
    <t>Purchasing; Inventory management</t>
  </si>
  <si>
    <t>Agentic AI; Hybrid system; LLM-based agent; Neuro-symbolic system</t>
  </si>
  <si>
    <t>Tool use; Planning; Orchestration; Reasoning</t>
  </si>
  <si>
    <t>Perception; Decision-making</t>
  </si>
  <si>
    <t>Cube; LLMs; Semantic Layer; Text To Sql; symbolic tools</t>
  </si>
  <si>
    <t>GPT-4.1; temperature 0.1</t>
  </si>
  <si>
    <t>execution accuracy; F1; hallucination; latency; Tokens; computational cost; lines of code</t>
  </si>
  <si>
    <t>Warehousing; Modular construction logistics; Inventory management; Fleet management; Supply chain planning; Routing; Transportation</t>
  </si>
  <si>
    <t>Intelligent agent; Agentic AI; AIoT; BDI/deliberative agent; Decentralized architecture; Reinforcement-learning agent; Multi-agent system</t>
  </si>
  <si>
    <t>Context awareness; Planning; Replanning; Orchestration; Tool use</t>
  </si>
  <si>
    <t>APIs; Arduino; Dapp; Docker; Fims; Gps Obd; Influxdb; IoT; Kubernetes; Lorawan; Mqtt Grpc; Neo4j; Openai Gym; Pms; RFID/LiDAR; WMS</t>
  </si>
  <si>
    <t>Not applicable — no LLM used as a central component</t>
  </si>
  <si>
    <t>Jit Accuracy; autonomous adjustments; inventory cost; recovery time; delivery time; alert effectiveness</t>
  </si>
  <si>
    <t>Warehousing; Purchasing; Distribution; Inventory management; Supply chain planning; Production logistics; Transportation</t>
  </si>
  <si>
    <t>Intelligent agent; Agentic AI; LLM-based agent</t>
  </si>
  <si>
    <t>Conceptual discussion only — not counted as demonstrated</t>
  </si>
  <si>
    <t>interviews; company documents; TOE framework; websites</t>
  </si>
  <si>
    <t>Not applicable — no specific LLM implemented or evaluated</t>
  </si>
  <si>
    <t>mention frequency; theoretical saturation; participant validation</t>
  </si>
  <si>
    <t>Not applicable — qualitative exploratory study</t>
  </si>
  <si>
    <t>Freight; Supply chain planning; Routing; Transportation</t>
  </si>
  <si>
    <t>Tool use; Planning; Memory; Orchestration; Reasoning; Replanning</t>
  </si>
  <si>
    <t>Arize Phoenix; Fastapi; Highs; Langgraph; MCP; Opentelemetry; Postgresql; Pyomo; Qdrant; Redis; simulation</t>
  </si>
  <si>
    <t>Gemini 3.1 Flash Lite</t>
  </si>
  <si>
    <t>task success; response time; Tokens; iterations; revisions; hallucination; recursion</t>
  </si>
  <si>
    <t>Purchasing; Distribution; Inventory management; Freight; Supply chain planning; Routing; Supplier selection; Transportation</t>
  </si>
  <si>
    <t>Agentic AI; Hierarchical architecture; Hybrid system; LLM-based agent; Multi-agent system</t>
  </si>
  <si>
    <t>Aws Bedrock; Boto3; Gradient Boosting; Kmeans; Newsapi; Openrouteservice; Openweathermap; Python; Scikit Learn; Strands Agents; Web Search</t>
  </si>
  <si>
    <t>Claude 3 Sonnet through AWS Bedrock</t>
  </si>
  <si>
    <t>accuracy; F1; MAE; Silhouette; cost; carbon emissions; service level; risk; CASP; cross-validation robustness</t>
  </si>
  <si>
    <t>Partial — comparative models/rules, but no end-to-end baseline for the agentic system</t>
  </si>
  <si>
    <t>Supply chain planning; Location selection; Transportation</t>
  </si>
  <si>
    <t>Hierarchical architecture; LLM-based agent; Multi-agent system</t>
  </si>
  <si>
    <t>APIs; public datasets; Fema; Noaa; Epa; Us Accidents</t>
  </si>
  <si>
    <t>LLM not specified</t>
  </si>
  <si>
    <t>risk indicators; accidents; pollution; resilience; decision confidence</t>
  </si>
  <si>
    <t>No</t>
  </si>
  <si>
    <t>Purchasing; Inventory management; Supply chain planning</t>
  </si>
  <si>
    <t>Context awareness; Planning; Replanning; Orchestration; Reasoning; Tool use</t>
  </si>
  <si>
    <t>APIs; Data Lake; ERP; Feature Store; Kafka; LSTM; MIP; Reinforcement Learning; TCN; Transformers</t>
  </si>
  <si>
    <t>LLM not specified; used for text interpretation, explanations, and communication</t>
  </si>
  <si>
    <t>forecast error; Overstock; Stockouts</t>
  </si>
  <si>
    <t>Decentralized architecture; Reinforcement-learning agent; Multi-agent system</t>
  </si>
  <si>
    <t>Replanning</t>
  </si>
  <si>
    <t>Learning; Coordination; Perception; Decision-making</t>
  </si>
  <si>
    <t>Gumbel Softmax; Optuna; Pytorch; Reinforcement Learning; decision tree; OLS regression; simulation</t>
  </si>
  <si>
    <t>Not applicable — ChatGPT-4-Turbo and DeepSeek-V3 were used only as baselines</t>
  </si>
  <si>
    <t>profit; Bullwhip; robustness; scalability; convergence; computational time</t>
  </si>
  <si>
    <t>Agentic AI; Hierarchical architecture; LLM-based agent; Multi-agent system</t>
  </si>
  <si>
    <t>Context awareness; Planning; Reasoning; Tool use; Orchestration</t>
  </si>
  <si>
    <t>Dspy; deterministic tools; GPS; Lade Dataset; Wilcoxon test</t>
  </si>
  <si>
    <t>GPT-4.1 for generation and GPT-4.1-mini as judge</t>
  </si>
  <si>
    <t>Quality Score; Issue Coverage; hallucination; verification; context awareness; statistical significance; effect size</t>
  </si>
  <si>
    <t>Warehousing; Intralogistics; Picking; Packing; Safety and ergonomics</t>
  </si>
  <si>
    <t>Agentic AI; Hybrid system; LLM-based agent; Neuro-symbolic system; Reinforcement-learning agent; Multi-agent system</t>
  </si>
  <si>
    <t>Context awareness; Memory; Orchestration; Reasoning; Replanning; Tool use</t>
  </si>
  <si>
    <t>BPMN; Digital Twin; Function Calling; IMU; Knowledge Graph; Lara; Llama 3 8b; MARL; Omocap; simulation; WMS</t>
  </si>
  <si>
    <t>Llama 3 8B with JSON function calling</t>
  </si>
  <si>
    <t>Macro F1; Logic Compliance; Actionability; Cohen's kappa; efficiency reward; safety reward; latency</t>
  </si>
  <si>
    <t>Distribution; Freight; Traceability; Transportation</t>
  </si>
  <si>
    <t>Reactive agent; Condition-triggered automation; Blockchain-enabled architecture</t>
  </si>
  <si>
    <t>Tool use</t>
  </si>
  <si>
    <t>APIs; Blockchain; Chaincode; Couchdb; Docker; Geofencing; Go; Hyperledger Fabric; IoT; Java Spring; Nodejs; Raft; X.509</t>
  </si>
  <si>
    <t>Not applicable — no LLM reported</t>
  </si>
  <si>
    <t>commit latency; transition correctness; access control; integrity; traceability</t>
  </si>
  <si>
    <t>Partial — comparison only with expected/reported Fabric performance; no end-to-end logistics baseline</t>
  </si>
  <si>
    <t>Supply chain planning; Supplier selection; Partner selection</t>
  </si>
  <si>
    <t>LLM-based agent; Multi-agent simulation; Multi-agent system</t>
  </si>
  <si>
    <t>Memory; Planning; Reasoning; Orchestration; Human-in-the-loop interaction</t>
  </si>
  <si>
    <t>Communication; Coordination; Negotiation; Decision-making</t>
  </si>
  <si>
    <t>Chatgpt 4o; Deepseek V3; Gemini 2 5 Flash; LLMs; predictive models; Shap; Visual Analytics</t>
  </si>
  <si>
    <t>ChatGPT-4o, Gemini 2.5 Flash, and DeepSeek-V3</t>
  </si>
  <si>
    <t>historical alignment; Gwet's AC1; decision consistency; Usabilidade; expert assessment</t>
  </si>
  <si>
    <t>No — user study without a comparable baseline; technical evaluation compares LLMs rather than systems</t>
  </si>
  <si>
    <t>Supply chain planning; Location selection; Supply chain risk management</t>
  </si>
  <si>
    <t>Memory; Orchestration; Reasoning; Replanning</t>
  </si>
  <si>
    <t>Communication; Coordination; Decision-making</t>
  </si>
  <si>
    <t>Balltree; Langgraph; Noaa; Npmrd; Scikit Learn; Us Accidents; crime and real-estate datasets</t>
  </si>
  <si>
    <t>GPT-4o; additional tests used GPT-5 mini, o4-mini, Claude Haiku 4.5, Gemini 2.5 Flash, and Llama 4 Maverick</t>
  </si>
  <si>
    <t>Severity Accuracy; Narrative Fidelity; Reason Clarity; Confidence; Pearson's r; MAE; execution time; Tokens; Ranking</t>
  </si>
  <si>
    <t>Inventory management; Maintenance logistics; Supply chain planning; Demand forecasting</t>
  </si>
  <si>
    <t>Agentic AI; Hierarchical architecture; LLM-based agent; ReAct; Multi-agent system</t>
  </si>
  <si>
    <t>Memory; Orchestration; Planning; Reasoning; Replanning; Tool use</t>
  </si>
  <si>
    <t>Task allocation; Communication; Coordination; Perception; Decision-making</t>
  </si>
  <si>
    <t>Deepseek Api; Langgraph; RAG; React; statistical models; machine-learning models; Shared State; Tool Calling</t>
  </si>
  <si>
    <t>DeepSeek-V3.1; temperature 0.2</t>
  </si>
  <si>
    <t>MAE; NRMSE; MASE; RelMAE; RRMSE; Top-1; Wilcoxon test; Cliff's delta; latency; Tokens</t>
  </si>
  <si>
    <t>Port logistics; Stowage planning; Transportation</t>
  </si>
  <si>
    <t>Agentic AI; Hybrid system; Hierarchical architecture; LLM-based agent; Multi-agent system</t>
  </si>
  <si>
    <t>Orchestration; Planning; Reasoning; Replanning; Tool use</t>
  </si>
  <si>
    <t>Task allocation; Communication; Coordination; Decision-making</t>
  </si>
  <si>
    <t>Gemini; Gurobi; Python; RAG; Few Shot; chain-of-thought prompting; code generation</t>
  </si>
  <si>
    <t>Gemini 2.5 Pro</t>
  </si>
  <si>
    <t>Stowage Success; Attribute Matching; BSDR; weight distribution; weight violations; planning time; adaptability</t>
  </si>
  <si>
    <t>Inventory management; Supply chain planning</t>
  </si>
  <si>
    <t>Tool use; Planning; Orchestration</t>
  </si>
  <si>
    <t>APIs; Blockchain; ERP; Hyperledger Fabric; IoT; Langchain; MCP; Smart Contracts</t>
  </si>
  <si>
    <t>GPT-4o-mini</t>
  </si>
  <si>
    <t>response time; Throughput; task success; security/safety; robustness and scale</t>
  </si>
  <si>
    <t>Memory</t>
  </si>
  <si>
    <t>Learning; Coordination; Negotiation; Decision-making</t>
  </si>
  <si>
    <t>APIs; Blockchain; DQN; MLP; Raft; Smart Contracts</t>
  </si>
  <si>
    <t>Not applicable — no LLM used</t>
  </si>
  <si>
    <t>convergence; profit; price; inventory; robustness and scale</t>
  </si>
  <si>
    <t>Warehousing; Inventory management; Fleet management; Picking; Order processing; Routing; Transportation</t>
  </si>
  <si>
    <t>Intelligent agent; LLM-based agent; Robotic agent</t>
  </si>
  <si>
    <t>Tool use; Planning; Memory</t>
  </si>
  <si>
    <t>Task allocation; Coordination; Perception; Decision-making</t>
  </si>
  <si>
    <t>Flask; Gazebo; Ims; Oms; RAG; Rfms; Rms; Ros2; Tiago; Turtlebot3; UAV</t>
  </si>
  <si>
    <t>LLaMA3-70B, Gemma2-9B-IT, and DeepSeek-32B</t>
  </si>
  <si>
    <t>accuracy; correctness; completeness; relevance; hallucination; response time</t>
  </si>
  <si>
    <t>Purchasing; Inventory management; Supply chain planning; Transportation</t>
  </si>
  <si>
    <t>Memory; Planning; Replanning; Orchestration</t>
  </si>
  <si>
    <t>Emails; Langchain; Langgraph; Last Planner System; purchase orders</t>
  </si>
  <si>
    <t>GPT-4; 8,000-token context window</t>
  </si>
  <si>
    <t>task success; functional feasibility</t>
  </si>
  <si>
    <t>Purchasing; Inventory management; Airline logistics; MRO logistics; Supply chain planning; Routing; Transportation</t>
  </si>
  <si>
    <t>Agentic AI; Hybrid system</t>
  </si>
  <si>
    <t>Context awareness; Planning; Replanning; Orchestration</t>
  </si>
  <si>
    <t>Learning; Perception; Decision-making</t>
  </si>
  <si>
    <t>genetic algorithms; ARIMA; Digital Twin; ERP; IoT; LSTM; MRO; Reinforcement Learning; Rule Engine; simulation</t>
  </si>
  <si>
    <t>Not applicable — no base LLM/model specified</t>
  </si>
  <si>
    <t>accuracy; Turnaround; reliability; CASK; inventory turnover; recovery time; CO2/RTK; SAF; Bias; human override</t>
  </si>
  <si>
    <t>Warehousing; Freight; Supply chain planning; Routing; Transportation</t>
  </si>
  <si>
    <t>Tool use; Planning; Memory; Orchestration; Reasoning</t>
  </si>
  <si>
    <t>Anylogic; Docker; Faf; Fastapi; Geoserver; Gurobi; MCP; Neo4j; Openstreetmap; RAG; Sentence Transformers; WMS</t>
  </si>
  <si>
    <t>Central LLM not specified; configured with API/MCP templates</t>
  </si>
  <si>
    <t>solver time; end-to-end time; response time; concurrency; scalability; optimality</t>
  </si>
  <si>
    <t>Intelligent agent; Agentic AI; Hierarchical architecture</t>
  </si>
  <si>
    <t>Context awareness; Planning; Replanning; Orchestration; Reasoning</t>
  </si>
  <si>
    <t>Digital Twin; ERP; IoT; MRO; simulation; IATA/ICAO benchmarks; governance rules</t>
  </si>
  <si>
    <t>accuracy; CASK; resilience; CO2/RTK; KPI compliance; auditability</t>
  </si>
  <si>
    <t>Warehousing; Distribution; Inventory management; Supply chain planning</t>
  </si>
  <si>
    <t>Intelligent agent; Decentralized architecture; Reinforcement-learning agent; Multi-agent system</t>
  </si>
  <si>
    <t>simulation; Reinforcement Learning; Multi Agent Reinforcement Learning; IoT</t>
  </si>
  <si>
    <t>inventory turnover; Stockouts; holding cost; convergence; resilience</t>
  </si>
  <si>
    <t>Port logistics; Routing; Transportation</t>
  </si>
  <si>
    <t>Intelligent agent; LLM-based agent; RAG</t>
  </si>
  <si>
    <t>Memory; Reasoning; Tool use</t>
  </si>
  <si>
    <t>Ais; APIs; Knowledge Graph; Mkr; Openai Api; RAG; Transd; Transe; Transh; Transr</t>
  </si>
  <si>
    <t>OpenAI LLM through an API; specific model not reported</t>
  </si>
  <si>
    <t>berth utilization; anchored vessels; waiting rate; Hits; MR; MRR; similarity</t>
  </si>
  <si>
    <t>Warehousing; Intralogistics; Pallet movement</t>
  </si>
  <si>
    <t>Agentic AI; Hybrid system; LLM-based agent; Robotic system</t>
  </si>
  <si>
    <t>Planning; Reasoning; Replanning; Tool use</t>
  </si>
  <si>
    <t>Fast Downward; Function Calling; PDDL; grid-world simulation</t>
  </si>
  <si>
    <t>GPT-4o and GPT-o1</t>
  </si>
  <si>
    <t>task success; executable steps; optimality; hallucination; logical violations; planning time</t>
  </si>
  <si>
    <t>Intelligent agent; Hierarchical architecture; Reinforcement-learning agent; Multi-agent system</t>
  </si>
  <si>
    <t>Context awareness; Orchestration; Replanning</t>
  </si>
  <si>
    <t>Flask; IoT; Mqtt; Numpy; Pubsub; Pytorch; Q Learning; Random Forest; Scikit Learn; Tensorflow</t>
  </si>
  <si>
    <t>detection accuracy; false-positive rate; response time; RL reward; threat correlation; availability</t>
  </si>
  <si>
    <t>Inventory management; Supply chain planning; Replenishment</t>
  </si>
  <si>
    <t>Autogen; Flask; Jupyter; Openai Api; linear programming; Python; SARIMAX; Vuejs</t>
  </si>
  <si>
    <t>GPT-4o-2024-05-13 and GPT-4o</t>
  </si>
  <si>
    <t>MAE; MSE; RMSE; MAPE; inventory turnover; Stockout; freight cost; holding cost; total cost</t>
  </si>
  <si>
    <t>Inventory management; Warehousing; Intralogistics; Picking</t>
  </si>
  <si>
    <t>Agentic AI; LLM-based agent; Hybrid system</t>
  </si>
  <si>
    <t>Tool use; Planning; Orchestration; Reasoning; Human-in-the-loop interaction</t>
  </si>
  <si>
    <t>Decision-making</t>
  </si>
  <si>
    <t>FlexSim; MILP; Python; simulation; OpenAI API</t>
  </si>
  <si>
    <t>GPT-4o (API version 2024-08-06)</t>
  </si>
  <si>
    <t>cycle time; throughput; utilization; blocked time; idle time; statistical significance</t>
  </si>
  <si>
    <t>Purchasing; Supplier selection; Freight; Transportation; Warehousing; Supply chain planning</t>
  </si>
  <si>
    <t>Intelligent agent; Hierarchical architecture; LLM-based agent; Multi-agent system; Hybrid system; Neuro-symbolic system</t>
  </si>
  <si>
    <t>Learning; Communication; Coordination; Negotiation; Perception; Decision-making</t>
  </si>
  <si>
    <t>APIs; blockchain; FastAPI; game-theory solver; Python; constraint checker</t>
  </si>
  <si>
    <t>Claude Sonnet 4.5</t>
  </si>
  <si>
    <t>constraint compliance; hard-constraint violations; deal success; explainability coverage; optimality; fairness; latency; statistical significance; effect size</t>
  </si>
  <si>
    <t>Port logistics; Freight; Routing; Transportation</t>
  </si>
  <si>
    <t>Intelligent agent; Hierarchical architecture; LLM-based agent; Multi-agent system; Hybrid system; Decentralized architecture</t>
  </si>
  <si>
    <t>Planning; Replanning; Orchestration; Context awareness</t>
  </si>
  <si>
    <t>Digital Twin; LLMs; logistic regression; Scikit Learn; simulation; deterministic tools</t>
  </si>
  <si>
    <t>gpt-5.4-mini-2026-03-17</t>
  </si>
  <si>
    <t>delivery delay; on-time delivery; recovery time; response time; interpretation accuracy; validation rejection; inference latency; estimated LLM cost</t>
  </si>
  <si>
    <t>Inventory management; Warehousing; Purchasing; Supply chain planning; Production logistics</t>
  </si>
  <si>
    <t>Agentic AI; Reinforcement-learning agent; Multi-agent system; Decentralized architecture</t>
  </si>
  <si>
    <t>Memory; Replanning</t>
  </si>
  <si>
    <t>MADDPG; MAPPO; PSO; Python; simulation; Multi Agent Reinforcement Learning</t>
  </si>
  <si>
    <t>profit; convergence; training time; robustness; statistical significance</t>
  </si>
  <si>
    <t>Supplier selection; Purchasing; Production logistics; Inventory management; Transportation; Supply chain planning</t>
  </si>
  <si>
    <t>Reinforcement-learning agent; Multi-agent system; Decentralized architecture</t>
  </si>
  <si>
    <t>Task allocation; Learning; Coordination; Perception; Decision-making</t>
  </si>
  <si>
    <t>GNN; QMIX; PyTorch; NumPy; Python; simulation; Multi Agent Reinforcement Learning</t>
  </si>
  <si>
    <t>RL reward; demand satisfaction; fulfillment delay; cost; training time; robustness and scale; statistical significance</t>
  </si>
  <si>
    <t>Last-mile delivery; Routing; Transportation; Distribution; Warehousing</t>
  </si>
  <si>
    <t>Intelligent agent; Agentic AI; Hierarchical architecture; LLM-based agent; Multi-agent system; Blockchain-enabled architecture</t>
  </si>
  <si>
    <t>Tool use; Planning; Memory; Orchestration; Reasoning; Replanning; Context awareness</t>
  </si>
  <si>
    <t>Task allocation; Communication; Coordination; Negotiation; Perception; Decision-making</t>
  </si>
  <si>
    <t>APIs; blockchain; Docker; Ethereum Sepolia; GraphRAG; Hardhat; IPFS; MCP; Neo4j; PostgreSQL; Python; RAG; smart contracts; simulation</t>
  </si>
  <si>
    <t>Kimi K2.5</t>
  </si>
  <si>
    <t>route time; route distance; planning time; urgent dispatch latency; service level; MAPE; unassigned orders; carrier compatibility; proof completeness; gas use; transaction time</t>
  </si>
  <si>
    <t>Supply chain planning; Purchasing; Transportation; Routing; Warehousing</t>
  </si>
  <si>
    <t>Intelligent agent; BDI/deliberative agent; Multi-agent system; Decentralized architecture</t>
  </si>
  <si>
    <t>Planning; Memory; Orchestration; Reasoning; Replanning</t>
  </si>
  <si>
    <t>ALNS; APIs; Contract Net Protocol; double auction; fuzzy MCDM; Gurobi; MILP; permissioned ledger; public datasets; simulation</t>
  </si>
  <si>
    <t>cost; order fulfillment; utilization; allocative efficiency; clearing time; scalability; convergence; emissions; robustness</t>
  </si>
  <si>
    <t>QA1</t>
  </si>
  <si>
    <t>QA2</t>
  </si>
  <si>
    <t>QA3</t>
  </si>
  <si>
    <t>QA4</t>
  </si>
  <si>
    <t>QA5</t>
  </si>
  <si>
    <t>QA6</t>
  </si>
  <si>
    <t>QA7</t>
  </si>
  <si>
    <t>QA8</t>
  </si>
  <si>
    <t>QA9</t>
  </si>
  <si>
    <t>QA10</t>
  </si>
  <si>
    <t>QA11</t>
  </si>
  <si>
    <t>QA12</t>
  </si>
  <si>
    <t>Score sum</t>
  </si>
  <si>
    <t>Applicable criteria</t>
  </si>
  <si>
    <t>N/A</t>
  </si>
  <si>
    <t>Criterion</t>
  </si>
  <si>
    <t>Assessment question</t>
  </si>
  <si>
    <t>Are the objectives and logistics problem clearly described?</t>
  </si>
  <si>
    <t>Are the agents, architecture, roles, and interactions specified?</t>
  </si>
  <si>
    <t>Are the claimed capabilities and autonomy demonstrated?</t>
  </si>
  <si>
    <t>Are the data, tools, systems, and evaluation environment described?</t>
  </si>
  <si>
    <t>Is the research/evaluation method appropriate to the objectives?</t>
  </si>
  <si>
    <t>Is there a comparison with a baseline, conventional method, or human process?</t>
  </si>
  <si>
    <t>Are the metrics, results, and analysis presented clearly?</t>
  </si>
  <si>
    <t>Is sufficient detail provided for replication or reproducibility?</t>
  </si>
  <si>
    <t>Is validation performed using simulation, a benchmark, real data, a case study, or a pilot?</t>
  </si>
  <si>
    <t>Are limitations and threats to validity discussed?</t>
  </si>
  <si>
    <t>Are the conclusions supported by the reported results?</t>
  </si>
  <si>
    <t>Is there evidence that the agentic component contributes to the results?</t>
  </si>
  <si>
    <t>Allowed scores</t>
  </si>
  <si>
    <t>1 = yes; 0.5 = partial; 0 = no; N/A = not applicable</t>
  </si>
  <si>
    <t>Formula</t>
  </si>
  <si>
    <t>Quality score = score sum / applicable criteria × 100</t>
  </si>
  <si>
    <t>Classes</t>
  </si>
  <si>
    <t>Low &lt;40%; Moderate 40%–69.9%; High ≥70%</t>
  </si>
  <si>
    <t>Interpretation</t>
  </si>
  <si>
    <t>Quality assesses methodological reporting and rigor; it must not be treated as equivalent to evidence maturity.</t>
  </si>
  <si>
    <t>Dimension</t>
  </si>
  <si>
    <t>Category</t>
  </si>
  <si>
    <t>Studies (n)</t>
  </si>
  <si>
    <t>Share of corpus</t>
  </si>
  <si>
    <t>Logistics operations</t>
  </si>
  <si>
    <t>Paradigms and architectures</t>
  </si>
  <si>
    <t>Multi-agent systems</t>
  </si>
  <si>
    <t>LLM-based agents</t>
  </si>
  <si>
    <t>Explicit agentic AI approaches</t>
  </si>
  <si>
    <t>Hierarchical architectures</t>
  </si>
  <si>
    <t>Intelligent-agent approaches</t>
  </si>
  <si>
    <t>Hybrid systems</t>
  </si>
  <si>
    <t>Reinforcement-learning agents</t>
  </si>
  <si>
    <t>Explicitly decentralized architectures</t>
  </si>
  <si>
    <t>Demonstrated capabilities</t>
  </si>
  <si>
    <t>Coordination</t>
  </si>
  <si>
    <t>Orchestration</t>
  </si>
  <si>
    <t>Planning</t>
  </si>
  <si>
    <t>Reasoning</t>
  </si>
  <si>
    <t>Context awareness</t>
  </si>
  <si>
    <t>Explicit human-in-the-loop interaction</t>
  </si>
  <si>
    <t>Interpretation note</t>
  </si>
  <si>
    <t>Percentages for multi-label dimensions do not sum to 100%.</t>
  </si>
  <si>
    <t>Capability rule</t>
  </si>
  <si>
    <t>S06 is excluded from demonstrated-capability counts because it reports a conceptual practitioner model rather than an implemented system.</t>
  </si>
  <si>
    <t>Rounding</t>
  </si>
  <si>
    <t>Percentages are calculated over the 37-study corpus; trailing decimal zeros are suppressed.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</si>
</sst>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%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rgb="FF1F4E7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3F6F9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4" borderId="0" xfId="0" applyFill="1"/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164" fontId="0" fillId="4" borderId="1" xfId="0" applyNumberForma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6" fontId="0" fillId="4" borderId="1" xfId="0" applyNumberFormat="1" applyFill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right" vertical="center"/>
    </xf>
    <xf numFmtId="0" fontId="5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right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>
      <pane ySplit="1" topLeftCell="A2" activePane="bottomLeft" state="frozen"/>
      <selection pane="bottomLeft" activeCell="B16" sqref="B16"/>
    </sheetView>
  </sheetViews>
  <sheetFormatPr defaultRowHeight="14.25"/>
  <cols>
    <col min="1" max="1" width="24" customWidth="1"/>
    <col min="2" max="2" width="100" customWidth="1"/>
  </cols>
  <sheetData>
    <row r="1" spans="1:6" ht="20.25">
      <c r="A1" s="23" t="s">
        <v>0</v>
      </c>
      <c r="B1" s="23"/>
      <c r="C1" s="23"/>
      <c r="D1" s="23"/>
      <c r="E1" s="23"/>
      <c r="F1" s="23"/>
    </row>
    <row r="3" spans="1:6" ht="15">
      <c r="A3" s="1" t="s">
        <v>1</v>
      </c>
      <c r="B3" s="2" t="s">
        <v>2</v>
      </c>
    </row>
    <row r="4" spans="1:6" ht="28.5">
      <c r="A4" s="1" t="s">
        <v>3</v>
      </c>
      <c r="B4" s="2" t="s">
        <v>4</v>
      </c>
    </row>
    <row r="5" spans="1:6" ht="15">
      <c r="A5" s="1" t="s">
        <v>5</v>
      </c>
      <c r="B5" s="2" t="s">
        <v>6</v>
      </c>
    </row>
    <row r="6" spans="1:6" ht="28.5">
      <c r="A6" s="1" t="s">
        <v>7</v>
      </c>
      <c r="B6" s="2" t="s">
        <v>8</v>
      </c>
    </row>
    <row r="7" spans="1:6" ht="28.5">
      <c r="A7" s="1" t="s">
        <v>9</v>
      </c>
      <c r="B7" s="2" t="s">
        <v>10</v>
      </c>
    </row>
    <row r="8" spans="1:6" ht="28.5">
      <c r="A8" s="1" t="s">
        <v>11</v>
      </c>
      <c r="B8" s="2" t="s">
        <v>12</v>
      </c>
    </row>
    <row r="9" spans="1:6" ht="28.5">
      <c r="A9" s="1" t="s">
        <v>13</v>
      </c>
      <c r="B9" s="2" t="s">
        <v>14</v>
      </c>
    </row>
    <row r="10" spans="1:6" ht="28.5">
      <c r="A10" s="1" t="s">
        <v>15</v>
      </c>
      <c r="B10" s="2" t="s">
        <v>16</v>
      </c>
    </row>
    <row r="11" spans="1:6" ht="15">
      <c r="A11" s="1" t="s">
        <v>17</v>
      </c>
      <c r="B11" s="2" t="s">
        <v>18</v>
      </c>
    </row>
    <row r="12" spans="1:6" ht="28.5">
      <c r="A12" s="1" t="s">
        <v>19</v>
      </c>
      <c r="B12" s="2" t="s">
        <v>20</v>
      </c>
    </row>
    <row r="13" spans="1:6" ht="28.5">
      <c r="A13" s="1" t="s">
        <v>21</v>
      </c>
      <c r="B13" s="2" t="s">
        <v>22</v>
      </c>
    </row>
    <row r="14" spans="1:6" ht="28.5">
      <c r="A14" s="1" t="s">
        <v>23</v>
      </c>
      <c r="B14" s="2" t="s">
        <v>24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pane ySplit="1" topLeftCell="A2" activePane="bottomLeft" state="frozen"/>
      <selection pane="bottomLeft" activeCell="B25" sqref="B25"/>
    </sheetView>
  </sheetViews>
  <sheetFormatPr defaultRowHeight="14.25"/>
  <cols>
    <col min="1" max="1" width="45" customWidth="1"/>
    <col min="2" max="4" width="15" customWidth="1"/>
    <col min="5" max="5" width="55" customWidth="1"/>
    <col min="6" max="6" width="27" customWidth="1"/>
  </cols>
  <sheetData>
    <row r="1" spans="1:6" ht="15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</row>
    <row r="2" spans="1:6">
      <c r="A2" s="17" t="s">
        <v>31</v>
      </c>
      <c r="B2" s="18"/>
      <c r="C2" s="18"/>
      <c r="D2" s="18">
        <v>23116</v>
      </c>
      <c r="E2" s="17" t="s">
        <v>32</v>
      </c>
      <c r="F2" s="17" t="s">
        <v>33</v>
      </c>
    </row>
    <row r="3" spans="1:6" ht="28.5">
      <c r="A3" s="19" t="s">
        <v>34</v>
      </c>
      <c r="B3" s="20">
        <v>23116</v>
      </c>
      <c r="C3" s="20">
        <v>1879</v>
      </c>
      <c r="D3" s="20">
        <v>21237</v>
      </c>
      <c r="E3" s="19" t="s">
        <v>35</v>
      </c>
      <c r="F3" s="19" t="s">
        <v>36</v>
      </c>
    </row>
    <row r="4" spans="1:6">
      <c r="A4" s="17" t="s">
        <v>37</v>
      </c>
      <c r="B4" s="18">
        <v>21237</v>
      </c>
      <c r="C4" s="18">
        <v>18934</v>
      </c>
      <c r="D4" s="18">
        <v>2303</v>
      </c>
      <c r="E4" s="17" t="s">
        <v>38</v>
      </c>
      <c r="F4" s="17" t="s">
        <v>36</v>
      </c>
    </row>
    <row r="5" spans="1:6">
      <c r="A5" s="19" t="s">
        <v>39</v>
      </c>
      <c r="B5" s="20">
        <v>2303</v>
      </c>
      <c r="C5" s="20">
        <v>16</v>
      </c>
      <c r="D5" s="20">
        <v>2287</v>
      </c>
      <c r="E5" s="19" t="s">
        <v>40</v>
      </c>
      <c r="F5" s="19" t="s">
        <v>36</v>
      </c>
    </row>
    <row r="6" spans="1:6" ht="28.5">
      <c r="A6" s="17" t="s">
        <v>41</v>
      </c>
      <c r="B6" s="18">
        <v>2287</v>
      </c>
      <c r="C6" s="18">
        <v>854</v>
      </c>
      <c r="D6" s="18">
        <v>1433</v>
      </c>
      <c r="E6" s="17" t="s">
        <v>42</v>
      </c>
      <c r="F6" s="17" t="s">
        <v>36</v>
      </c>
    </row>
    <row r="7" spans="1:6">
      <c r="A7" s="19" t="s">
        <v>43</v>
      </c>
      <c r="B7" s="20">
        <v>1433</v>
      </c>
      <c r="C7" s="20">
        <v>427</v>
      </c>
      <c r="D7" s="20">
        <v>1006</v>
      </c>
      <c r="E7" s="19" t="s">
        <v>44</v>
      </c>
      <c r="F7" s="19" t="s">
        <v>36</v>
      </c>
    </row>
    <row r="8" spans="1:6">
      <c r="A8" s="17" t="s">
        <v>45</v>
      </c>
      <c r="B8" s="18">
        <v>1006</v>
      </c>
      <c r="C8" s="18"/>
      <c r="D8" s="18">
        <v>1013</v>
      </c>
      <c r="E8" s="17" t="s">
        <v>46</v>
      </c>
      <c r="F8" s="17" t="s">
        <v>47</v>
      </c>
    </row>
    <row r="9" spans="1:6">
      <c r="A9" s="19" t="s">
        <v>48</v>
      </c>
      <c r="B9" s="20">
        <v>1013</v>
      </c>
      <c r="C9" s="20">
        <v>11</v>
      </c>
      <c r="D9" s="20">
        <v>1002</v>
      </c>
      <c r="E9" s="19" t="s">
        <v>49</v>
      </c>
      <c r="F9" s="19" t="s">
        <v>50</v>
      </c>
    </row>
    <row r="10" spans="1:6">
      <c r="A10" s="17" t="s">
        <v>51</v>
      </c>
      <c r="B10" s="18">
        <v>1002</v>
      </c>
      <c r="C10" s="18">
        <v>292</v>
      </c>
      <c r="D10" s="18">
        <v>710</v>
      </c>
      <c r="E10" s="17" t="s">
        <v>52</v>
      </c>
      <c r="F10" s="17" t="s">
        <v>50</v>
      </c>
    </row>
    <row r="11" spans="1:6">
      <c r="A11" s="19" t="s">
        <v>53</v>
      </c>
      <c r="B11" s="20">
        <v>710</v>
      </c>
      <c r="C11" s="20">
        <v>365</v>
      </c>
      <c r="D11" s="20">
        <v>345</v>
      </c>
      <c r="E11" s="19" t="s">
        <v>54</v>
      </c>
      <c r="F11" s="19" t="s">
        <v>50</v>
      </c>
    </row>
    <row r="12" spans="1:6" ht="28.5">
      <c r="A12" s="17" t="s">
        <v>55</v>
      </c>
      <c r="B12" s="18">
        <v>345</v>
      </c>
      <c r="C12" s="18">
        <v>175</v>
      </c>
      <c r="D12" s="18">
        <v>170</v>
      </c>
      <c r="E12" s="17" t="s">
        <v>56</v>
      </c>
      <c r="F12" s="17" t="s">
        <v>50</v>
      </c>
    </row>
    <row r="13" spans="1:6">
      <c r="A13" s="19" t="s">
        <v>57</v>
      </c>
      <c r="B13" s="20">
        <v>170</v>
      </c>
      <c r="C13" s="20">
        <v>19</v>
      </c>
      <c r="D13" s="20">
        <v>151</v>
      </c>
      <c r="E13" s="19" t="s">
        <v>58</v>
      </c>
      <c r="F13" s="19" t="s">
        <v>59</v>
      </c>
    </row>
    <row r="14" spans="1:6" ht="28.5">
      <c r="A14" s="17" t="s">
        <v>60</v>
      </c>
      <c r="B14" s="18">
        <v>151</v>
      </c>
      <c r="C14" s="18">
        <v>62</v>
      </c>
      <c r="D14" s="18">
        <v>89</v>
      </c>
      <c r="E14" s="17" t="s">
        <v>61</v>
      </c>
      <c r="F14" s="17" t="s">
        <v>62</v>
      </c>
    </row>
    <row r="15" spans="1:6">
      <c r="A15" s="19" t="s">
        <v>63</v>
      </c>
      <c r="B15" s="20">
        <v>89</v>
      </c>
      <c r="C15" s="20">
        <v>50</v>
      </c>
      <c r="D15" s="20">
        <v>39</v>
      </c>
      <c r="E15" s="19" t="s">
        <v>64</v>
      </c>
      <c r="F15" s="19" t="s">
        <v>62</v>
      </c>
    </row>
    <row r="16" spans="1:6">
      <c r="A16" s="17" t="s">
        <v>65</v>
      </c>
      <c r="B16" s="18">
        <v>39</v>
      </c>
      <c r="C16" s="18">
        <v>2</v>
      </c>
      <c r="D16" s="18">
        <v>37</v>
      </c>
      <c r="E16" s="17" t="s">
        <v>66</v>
      </c>
      <c r="F16" s="17" t="s">
        <v>62</v>
      </c>
    </row>
    <row r="17" spans="1:6" ht="15">
      <c r="A17" s="21" t="s">
        <v>67</v>
      </c>
      <c r="B17" s="22"/>
      <c r="C17" s="22"/>
      <c r="D17" s="22">
        <v>37</v>
      </c>
      <c r="E17" s="21" t="s">
        <v>68</v>
      </c>
      <c r="F17" s="2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showGridLines="0" workbookViewId="0">
      <pane ySplit="1" topLeftCell="A26" activePane="bottomLeft" state="frozen"/>
      <selection pane="bottomLeft" activeCell="C45" sqref="C45"/>
    </sheetView>
  </sheetViews>
  <sheetFormatPr defaultRowHeight="14.25"/>
  <cols>
    <col min="1" max="1" width="11" customWidth="1"/>
    <col min="2" max="2" width="9" customWidth="1"/>
    <col min="3" max="3" width="62" customWidth="1"/>
    <col min="4" max="4" width="18" customWidth="1"/>
    <col min="5" max="5" width="46" customWidth="1"/>
    <col min="6" max="6" width="42" customWidth="1"/>
    <col min="7" max="7" width="34" customWidth="1"/>
    <col min="8" max="8" width="26" customWidth="1"/>
    <col min="9" max="9" width="34" customWidth="1"/>
    <col min="10" max="10" width="32" customWidth="1"/>
    <col min="11" max="11" width="26" customWidth="1"/>
    <col min="12" max="12" width="38" customWidth="1"/>
    <col min="13" max="13" width="18" customWidth="1"/>
    <col min="14" max="14" width="16" customWidth="1"/>
    <col min="15" max="15" width="29" customWidth="1"/>
  </cols>
  <sheetData>
    <row r="1" spans="1:15" ht="26.45" customHeight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13</v>
      </c>
      <c r="M1" s="3" t="s">
        <v>81</v>
      </c>
      <c r="N1" s="3" t="s">
        <v>82</v>
      </c>
      <c r="O1" s="3" t="s">
        <v>83</v>
      </c>
    </row>
    <row r="2" spans="1:15" ht="26.45" customHeight="1">
      <c r="A2" s="11" t="s">
        <v>84</v>
      </c>
      <c r="B2" s="11">
        <v>2026</v>
      </c>
      <c r="C2" s="11" t="s">
        <v>85</v>
      </c>
      <c r="D2" s="11" t="s">
        <v>86</v>
      </c>
      <c r="E2" s="11" t="s">
        <v>87</v>
      </c>
      <c r="F2" s="11" t="s">
        <v>88</v>
      </c>
      <c r="G2" s="11" t="s">
        <v>89</v>
      </c>
      <c r="H2" s="11" t="s">
        <v>90</v>
      </c>
      <c r="I2" s="11" t="s">
        <v>91</v>
      </c>
      <c r="J2" s="11" t="s">
        <v>92</v>
      </c>
      <c r="K2" s="11" t="s">
        <v>93</v>
      </c>
      <c r="L2" s="11" t="s">
        <v>94</v>
      </c>
      <c r="M2" s="13">
        <v>54.166666666666664</v>
      </c>
      <c r="N2" s="11" t="s">
        <v>95</v>
      </c>
      <c r="O2" s="11" t="s">
        <v>96</v>
      </c>
    </row>
    <row r="3" spans="1:15" ht="26.45" customHeight="1">
      <c r="A3" s="10" t="s">
        <v>97</v>
      </c>
      <c r="B3" s="10">
        <v>2026</v>
      </c>
      <c r="C3" s="10" t="s">
        <v>98</v>
      </c>
      <c r="D3" s="10" t="s">
        <v>86</v>
      </c>
      <c r="E3" s="10" t="s">
        <v>99</v>
      </c>
      <c r="F3" s="10" t="s">
        <v>100</v>
      </c>
      <c r="G3" s="10" t="s">
        <v>89</v>
      </c>
      <c r="H3" s="10" t="s">
        <v>101</v>
      </c>
      <c r="I3" s="10" t="s">
        <v>102</v>
      </c>
      <c r="J3" s="10" t="s">
        <v>103</v>
      </c>
      <c r="K3" s="10" t="s">
        <v>93</v>
      </c>
      <c r="L3" s="10" t="s">
        <v>94</v>
      </c>
      <c r="M3" s="14">
        <v>95.833333333333343</v>
      </c>
      <c r="N3" s="10" t="s">
        <v>104</v>
      </c>
      <c r="O3" s="10" t="s">
        <v>96</v>
      </c>
    </row>
    <row r="4" spans="1:15" ht="26.45" customHeight="1">
      <c r="A4" s="11" t="s">
        <v>105</v>
      </c>
      <c r="B4" s="11">
        <v>2026</v>
      </c>
      <c r="C4" s="11" t="s">
        <v>106</v>
      </c>
      <c r="D4" s="11" t="s">
        <v>86</v>
      </c>
      <c r="E4" s="11" t="s">
        <v>107</v>
      </c>
      <c r="F4" s="11" t="s">
        <v>108</v>
      </c>
      <c r="G4" s="11" t="s">
        <v>89</v>
      </c>
      <c r="H4" s="11" t="s">
        <v>90</v>
      </c>
      <c r="I4" s="11" t="s">
        <v>109</v>
      </c>
      <c r="J4" s="11" t="s">
        <v>103</v>
      </c>
      <c r="K4" s="11" t="s">
        <v>110</v>
      </c>
      <c r="L4" s="11" t="s">
        <v>94</v>
      </c>
      <c r="M4" s="13">
        <v>91.666666666666657</v>
      </c>
      <c r="N4" s="11" t="s">
        <v>104</v>
      </c>
      <c r="O4" s="11" t="s">
        <v>96</v>
      </c>
    </row>
    <row r="5" spans="1:15" ht="26.45" customHeight="1">
      <c r="A5" s="10" t="s">
        <v>111</v>
      </c>
      <c r="B5" s="10">
        <v>2026</v>
      </c>
      <c r="C5" s="10" t="s">
        <v>112</v>
      </c>
      <c r="D5" s="10" t="s">
        <v>86</v>
      </c>
      <c r="E5" s="10" t="s">
        <v>113</v>
      </c>
      <c r="F5" s="10" t="s">
        <v>114</v>
      </c>
      <c r="G5" s="10" t="s">
        <v>115</v>
      </c>
      <c r="H5" s="10" t="s">
        <v>116</v>
      </c>
      <c r="I5" s="10" t="s">
        <v>109</v>
      </c>
      <c r="J5" s="10" t="s">
        <v>103</v>
      </c>
      <c r="K5" s="10" t="s">
        <v>110</v>
      </c>
      <c r="L5" s="10" t="s">
        <v>94</v>
      </c>
      <c r="M5" s="14">
        <v>83.333333333333343</v>
      </c>
      <c r="N5" s="10" t="s">
        <v>104</v>
      </c>
      <c r="O5" s="10" t="s">
        <v>96</v>
      </c>
    </row>
    <row r="6" spans="1:15" ht="26.45" customHeight="1">
      <c r="A6" s="11" t="s">
        <v>117</v>
      </c>
      <c r="B6" s="11">
        <v>2026</v>
      </c>
      <c r="C6" s="11" t="s">
        <v>118</v>
      </c>
      <c r="D6" s="11" t="s">
        <v>119</v>
      </c>
      <c r="E6" s="11" t="s">
        <v>120</v>
      </c>
      <c r="F6" s="11" t="s">
        <v>121</v>
      </c>
      <c r="G6" s="11" t="s">
        <v>89</v>
      </c>
      <c r="H6" s="11" t="s">
        <v>90</v>
      </c>
      <c r="I6" s="11" t="s">
        <v>122</v>
      </c>
      <c r="J6" s="11" t="s">
        <v>123</v>
      </c>
      <c r="K6" s="11" t="s">
        <v>110</v>
      </c>
      <c r="L6" s="11" t="s">
        <v>124</v>
      </c>
      <c r="M6" s="13">
        <v>95.833333333333343</v>
      </c>
      <c r="N6" s="11" t="s">
        <v>104</v>
      </c>
      <c r="O6" s="11" t="s">
        <v>96</v>
      </c>
    </row>
    <row r="7" spans="1:15" ht="26.45" customHeight="1">
      <c r="A7" s="10" t="s">
        <v>125</v>
      </c>
      <c r="B7" s="10">
        <v>2026</v>
      </c>
      <c r="C7" s="10" t="s">
        <v>126</v>
      </c>
      <c r="D7" s="10" t="s">
        <v>119</v>
      </c>
      <c r="E7" s="10" t="s">
        <v>127</v>
      </c>
      <c r="F7" s="10" t="s">
        <v>128</v>
      </c>
      <c r="G7" s="10" t="s">
        <v>89</v>
      </c>
      <c r="H7" s="10" t="s">
        <v>90</v>
      </c>
      <c r="I7" s="10" t="s">
        <v>102</v>
      </c>
      <c r="J7" s="10" t="s">
        <v>129</v>
      </c>
      <c r="K7" s="10" t="s">
        <v>130</v>
      </c>
      <c r="L7" s="10" t="s">
        <v>131</v>
      </c>
      <c r="M7" s="14">
        <v>86.36363636363636</v>
      </c>
      <c r="N7" s="10" t="s">
        <v>104</v>
      </c>
      <c r="O7" s="10" t="s">
        <v>96</v>
      </c>
    </row>
    <row r="8" spans="1:15" ht="26.45" customHeight="1">
      <c r="A8" s="11" t="s">
        <v>132</v>
      </c>
      <c r="B8" s="11">
        <v>2026</v>
      </c>
      <c r="C8" s="11" t="s">
        <v>133</v>
      </c>
      <c r="D8" s="11" t="s">
        <v>119</v>
      </c>
      <c r="E8" s="11" t="s">
        <v>134</v>
      </c>
      <c r="F8" s="11" t="s">
        <v>135</v>
      </c>
      <c r="G8" s="11" t="s">
        <v>136</v>
      </c>
      <c r="H8" s="11" t="s">
        <v>137</v>
      </c>
      <c r="I8" s="11" t="s">
        <v>109</v>
      </c>
      <c r="J8" s="11" t="s">
        <v>103</v>
      </c>
      <c r="K8" s="11" t="s">
        <v>93</v>
      </c>
      <c r="L8" s="11" t="s">
        <v>94</v>
      </c>
      <c r="M8" s="13">
        <v>95.833333333333343</v>
      </c>
      <c r="N8" s="11" t="s">
        <v>104</v>
      </c>
      <c r="O8" s="11" t="s">
        <v>96</v>
      </c>
    </row>
    <row r="9" spans="1:15" ht="26.45" customHeight="1">
      <c r="A9" s="10" t="s">
        <v>138</v>
      </c>
      <c r="B9" s="10">
        <v>2026</v>
      </c>
      <c r="C9" s="10" t="s">
        <v>139</v>
      </c>
      <c r="D9" s="10" t="s">
        <v>119</v>
      </c>
      <c r="E9" s="10" t="s">
        <v>140</v>
      </c>
      <c r="F9" s="10" t="s">
        <v>141</v>
      </c>
      <c r="G9" s="10" t="s">
        <v>89</v>
      </c>
      <c r="H9" s="10" t="s">
        <v>90</v>
      </c>
      <c r="I9" s="10" t="s">
        <v>109</v>
      </c>
      <c r="J9" s="10" t="s">
        <v>103</v>
      </c>
      <c r="K9" s="10" t="s">
        <v>142</v>
      </c>
      <c r="L9" s="10" t="s">
        <v>143</v>
      </c>
      <c r="M9" s="14">
        <v>95.833333333333343</v>
      </c>
      <c r="N9" s="10" t="s">
        <v>104</v>
      </c>
      <c r="O9" s="10" t="s">
        <v>96</v>
      </c>
    </row>
    <row r="10" spans="1:15" ht="26.45" customHeight="1">
      <c r="A10" s="11" t="s">
        <v>144</v>
      </c>
      <c r="B10" s="11">
        <v>2026</v>
      </c>
      <c r="C10" s="11" t="s">
        <v>145</v>
      </c>
      <c r="D10" s="11" t="s">
        <v>119</v>
      </c>
      <c r="E10" s="11" t="s">
        <v>146</v>
      </c>
      <c r="F10" s="11" t="s">
        <v>147</v>
      </c>
      <c r="G10" s="11" t="s">
        <v>89</v>
      </c>
      <c r="H10" s="11" t="s">
        <v>148</v>
      </c>
      <c r="I10" s="11" t="s">
        <v>102</v>
      </c>
      <c r="J10" s="11" t="s">
        <v>103</v>
      </c>
      <c r="K10" s="11" t="s">
        <v>142</v>
      </c>
      <c r="L10" s="11" t="s">
        <v>143</v>
      </c>
      <c r="M10" s="13">
        <v>62.5</v>
      </c>
      <c r="N10" s="11" t="s">
        <v>95</v>
      </c>
      <c r="O10" s="11" t="s">
        <v>96</v>
      </c>
    </row>
    <row r="11" spans="1:15" ht="26.45" customHeight="1">
      <c r="A11" s="10" t="s">
        <v>149</v>
      </c>
      <c r="B11" s="10">
        <v>2026</v>
      </c>
      <c r="C11" s="10" t="s">
        <v>150</v>
      </c>
      <c r="D11" s="10" t="s">
        <v>119</v>
      </c>
      <c r="E11" s="10"/>
      <c r="F11" s="10" t="s">
        <v>151</v>
      </c>
      <c r="G11" s="10" t="s">
        <v>89</v>
      </c>
      <c r="H11" s="10" t="s">
        <v>90</v>
      </c>
      <c r="I11" s="10" t="s">
        <v>109</v>
      </c>
      <c r="J11" s="10" t="s">
        <v>103</v>
      </c>
      <c r="K11" s="10" t="s">
        <v>130</v>
      </c>
      <c r="L11" s="10" t="s">
        <v>94</v>
      </c>
      <c r="M11" s="14">
        <v>58.333333333333336</v>
      </c>
      <c r="N11" s="10" t="s">
        <v>95</v>
      </c>
      <c r="O11" s="10" t="s">
        <v>96</v>
      </c>
    </row>
    <row r="12" spans="1:15" ht="26.45" customHeight="1">
      <c r="A12" s="11" t="s">
        <v>152</v>
      </c>
      <c r="B12" s="11">
        <v>2026</v>
      </c>
      <c r="C12" s="11" t="s">
        <v>153</v>
      </c>
      <c r="D12" s="11" t="s">
        <v>154</v>
      </c>
      <c r="E12" s="11" t="s">
        <v>155</v>
      </c>
      <c r="F12" s="11" t="s">
        <v>156</v>
      </c>
      <c r="G12" s="11" t="s">
        <v>115</v>
      </c>
      <c r="H12" s="11" t="s">
        <v>116</v>
      </c>
      <c r="I12" s="11" t="s">
        <v>122</v>
      </c>
      <c r="J12" s="11" t="s">
        <v>123</v>
      </c>
      <c r="K12" s="11" t="s">
        <v>93</v>
      </c>
      <c r="L12" s="11" t="s">
        <v>157</v>
      </c>
      <c r="M12" s="13">
        <v>95.833333333333343</v>
      </c>
      <c r="N12" s="11" t="s">
        <v>104</v>
      </c>
      <c r="O12" s="11" t="s">
        <v>96</v>
      </c>
    </row>
    <row r="13" spans="1:15" ht="26.45" customHeight="1">
      <c r="A13" s="10" t="s">
        <v>158</v>
      </c>
      <c r="B13" s="10">
        <v>2026</v>
      </c>
      <c r="C13" s="10" t="s">
        <v>159</v>
      </c>
      <c r="D13" s="10" t="s">
        <v>160</v>
      </c>
      <c r="E13" s="10" t="s">
        <v>161</v>
      </c>
      <c r="F13" s="10" t="s">
        <v>162</v>
      </c>
      <c r="G13" s="10" t="s">
        <v>136</v>
      </c>
      <c r="H13" s="10" t="s">
        <v>163</v>
      </c>
      <c r="I13" s="10" t="s">
        <v>102</v>
      </c>
      <c r="J13" s="10" t="s">
        <v>103</v>
      </c>
      <c r="K13" s="10" t="s">
        <v>142</v>
      </c>
      <c r="L13" s="10" t="s">
        <v>157</v>
      </c>
      <c r="M13" s="14">
        <v>95.833333333333343</v>
      </c>
      <c r="N13" s="10" t="s">
        <v>104</v>
      </c>
      <c r="O13" s="10" t="s">
        <v>96</v>
      </c>
    </row>
    <row r="14" spans="1:15" ht="26.45" customHeight="1">
      <c r="A14" s="11" t="s">
        <v>164</v>
      </c>
      <c r="B14" s="11">
        <v>2026</v>
      </c>
      <c r="C14" s="11" t="s">
        <v>165</v>
      </c>
      <c r="D14" s="11" t="s">
        <v>166</v>
      </c>
      <c r="E14" s="11" t="s">
        <v>167</v>
      </c>
      <c r="F14" s="11" t="s">
        <v>168</v>
      </c>
      <c r="G14" s="11" t="s">
        <v>115</v>
      </c>
      <c r="H14" s="11" t="s">
        <v>169</v>
      </c>
      <c r="I14" s="11" t="s">
        <v>109</v>
      </c>
      <c r="J14" s="11" t="s">
        <v>103</v>
      </c>
      <c r="K14" s="11" t="s">
        <v>130</v>
      </c>
      <c r="L14" s="11" t="s">
        <v>94</v>
      </c>
      <c r="M14" s="13">
        <v>95.833333333333343</v>
      </c>
      <c r="N14" s="11" t="s">
        <v>104</v>
      </c>
      <c r="O14" s="11" t="s">
        <v>96</v>
      </c>
    </row>
    <row r="15" spans="1:15" ht="26.45" customHeight="1">
      <c r="A15" s="10" t="s">
        <v>170</v>
      </c>
      <c r="B15" s="10">
        <v>2026</v>
      </c>
      <c r="C15" s="10" t="s">
        <v>171</v>
      </c>
      <c r="D15" s="10" t="s">
        <v>154</v>
      </c>
      <c r="E15" s="10" t="s">
        <v>172</v>
      </c>
      <c r="F15" s="10" t="s">
        <v>173</v>
      </c>
      <c r="G15" s="10" t="s">
        <v>174</v>
      </c>
      <c r="H15" s="10" t="s">
        <v>175</v>
      </c>
      <c r="I15" s="10" t="s">
        <v>176</v>
      </c>
      <c r="J15" s="10" t="s">
        <v>92</v>
      </c>
      <c r="K15" s="10" t="s">
        <v>93</v>
      </c>
      <c r="L15" s="10" t="s">
        <v>177</v>
      </c>
      <c r="M15" s="14">
        <v>54.166666666666664</v>
      </c>
      <c r="N15" s="10" t="s">
        <v>95</v>
      </c>
      <c r="O15" s="10" t="s">
        <v>96</v>
      </c>
    </row>
    <row r="16" spans="1:15" ht="26.45" customHeight="1">
      <c r="A16" s="11" t="s">
        <v>178</v>
      </c>
      <c r="B16" s="11">
        <v>2026</v>
      </c>
      <c r="C16" s="11" t="s">
        <v>179</v>
      </c>
      <c r="D16" s="11" t="s">
        <v>160</v>
      </c>
      <c r="E16" s="11" t="s">
        <v>180</v>
      </c>
      <c r="F16" s="11" t="s">
        <v>181</v>
      </c>
      <c r="G16" s="11" t="s">
        <v>89</v>
      </c>
      <c r="H16" s="11" t="s">
        <v>182</v>
      </c>
      <c r="I16" s="11" t="s">
        <v>102</v>
      </c>
      <c r="J16" s="11" t="s">
        <v>123</v>
      </c>
      <c r="K16" s="11" t="s">
        <v>142</v>
      </c>
      <c r="L16" s="11" t="s">
        <v>157</v>
      </c>
      <c r="M16" s="13">
        <v>83.333333333333343</v>
      </c>
      <c r="N16" s="11" t="s">
        <v>104</v>
      </c>
      <c r="O16" s="11" t="s">
        <v>96</v>
      </c>
    </row>
    <row r="17" spans="1:15" ht="26.45" customHeight="1">
      <c r="A17" s="10" t="s">
        <v>183</v>
      </c>
      <c r="B17" s="10">
        <v>2026</v>
      </c>
      <c r="C17" s="10" t="s">
        <v>184</v>
      </c>
      <c r="D17" s="10" t="s">
        <v>185</v>
      </c>
      <c r="E17" s="10" t="s">
        <v>186</v>
      </c>
      <c r="F17" s="10" t="s">
        <v>187</v>
      </c>
      <c r="G17" s="10" t="s">
        <v>89</v>
      </c>
      <c r="H17" s="10" t="s">
        <v>148</v>
      </c>
      <c r="I17" s="10" t="s">
        <v>102</v>
      </c>
      <c r="J17" s="10" t="s">
        <v>103</v>
      </c>
      <c r="K17" s="10" t="s">
        <v>142</v>
      </c>
      <c r="L17" s="10" t="s">
        <v>143</v>
      </c>
      <c r="M17" s="14">
        <v>95.833333333333343</v>
      </c>
      <c r="N17" s="10" t="s">
        <v>104</v>
      </c>
      <c r="O17" s="10" t="s">
        <v>96</v>
      </c>
    </row>
    <row r="18" spans="1:15" ht="26.45" customHeight="1">
      <c r="A18" s="11" t="s">
        <v>188</v>
      </c>
      <c r="B18" s="11">
        <v>2026</v>
      </c>
      <c r="C18" s="11" t="s">
        <v>189</v>
      </c>
      <c r="D18" s="11" t="s">
        <v>166</v>
      </c>
      <c r="E18" s="11" t="s">
        <v>190</v>
      </c>
      <c r="F18" s="11" t="s">
        <v>191</v>
      </c>
      <c r="G18" s="11" t="s">
        <v>89</v>
      </c>
      <c r="H18" s="11" t="s">
        <v>192</v>
      </c>
      <c r="I18" s="11" t="s">
        <v>102</v>
      </c>
      <c r="J18" s="11" t="s">
        <v>103</v>
      </c>
      <c r="K18" s="11" t="s">
        <v>142</v>
      </c>
      <c r="L18" s="11" t="s">
        <v>143</v>
      </c>
      <c r="M18" s="13">
        <v>95.833333333333343</v>
      </c>
      <c r="N18" s="11" t="s">
        <v>104</v>
      </c>
      <c r="O18" s="11" t="s">
        <v>96</v>
      </c>
    </row>
    <row r="19" spans="1:15" ht="26.45" customHeight="1">
      <c r="A19" s="10" t="s">
        <v>193</v>
      </c>
      <c r="B19" s="10">
        <v>2026</v>
      </c>
      <c r="C19" s="10" t="s">
        <v>194</v>
      </c>
      <c r="D19" s="10" t="s">
        <v>166</v>
      </c>
      <c r="E19" s="10" t="s">
        <v>195</v>
      </c>
      <c r="F19" s="10" t="s">
        <v>196</v>
      </c>
      <c r="G19" s="10" t="s">
        <v>136</v>
      </c>
      <c r="H19" s="10" t="s">
        <v>197</v>
      </c>
      <c r="I19" s="10" t="s">
        <v>102</v>
      </c>
      <c r="J19" s="10" t="s">
        <v>103</v>
      </c>
      <c r="K19" s="10" t="s">
        <v>93</v>
      </c>
      <c r="L19" s="10" t="s">
        <v>157</v>
      </c>
      <c r="M19" s="14">
        <v>95.833333333333343</v>
      </c>
      <c r="N19" s="10" t="s">
        <v>104</v>
      </c>
      <c r="O19" s="10" t="s">
        <v>96</v>
      </c>
    </row>
    <row r="20" spans="1:15" ht="26.45" customHeight="1">
      <c r="A20" s="11" t="s">
        <v>198</v>
      </c>
      <c r="B20" s="11">
        <v>2025</v>
      </c>
      <c r="C20" s="11" t="s">
        <v>199</v>
      </c>
      <c r="D20" s="11" t="s">
        <v>86</v>
      </c>
      <c r="E20" s="11" t="s">
        <v>200</v>
      </c>
      <c r="F20" s="11" t="s">
        <v>201</v>
      </c>
      <c r="G20" s="11" t="s">
        <v>115</v>
      </c>
      <c r="H20" s="11" t="s">
        <v>116</v>
      </c>
      <c r="I20" s="11" t="s">
        <v>102</v>
      </c>
      <c r="J20" s="11" t="s">
        <v>103</v>
      </c>
      <c r="K20" s="11" t="s">
        <v>93</v>
      </c>
      <c r="L20" s="11" t="s">
        <v>94</v>
      </c>
      <c r="M20" s="13">
        <v>91.666666666666657</v>
      </c>
      <c r="N20" s="11" t="s">
        <v>104</v>
      </c>
      <c r="O20" s="11" t="s">
        <v>96</v>
      </c>
    </row>
    <row r="21" spans="1:15" ht="26.45" customHeight="1">
      <c r="A21" s="10" t="s">
        <v>202</v>
      </c>
      <c r="B21" s="10">
        <v>2025</v>
      </c>
      <c r="C21" s="10" t="s">
        <v>203</v>
      </c>
      <c r="D21" s="10" t="s">
        <v>86</v>
      </c>
      <c r="E21" s="10" t="s">
        <v>204</v>
      </c>
      <c r="F21" s="10" t="s">
        <v>205</v>
      </c>
      <c r="G21" s="10" t="s">
        <v>89</v>
      </c>
      <c r="H21" s="10" t="s">
        <v>90</v>
      </c>
      <c r="I21" s="10" t="s">
        <v>122</v>
      </c>
      <c r="J21" s="10" t="s">
        <v>123</v>
      </c>
      <c r="K21" s="10" t="s">
        <v>93</v>
      </c>
      <c r="L21" s="10" t="s">
        <v>94</v>
      </c>
      <c r="M21" s="14">
        <v>66.666666666666657</v>
      </c>
      <c r="N21" s="10" t="s">
        <v>95</v>
      </c>
      <c r="O21" s="10" t="s">
        <v>96</v>
      </c>
    </row>
    <row r="22" spans="1:15" ht="26.45" customHeight="1">
      <c r="A22" s="11" t="s">
        <v>206</v>
      </c>
      <c r="B22" s="11">
        <v>2025</v>
      </c>
      <c r="C22" s="11" t="s">
        <v>207</v>
      </c>
      <c r="D22" s="11" t="s">
        <v>86</v>
      </c>
      <c r="E22" s="11" t="s">
        <v>208</v>
      </c>
      <c r="F22" s="11" t="s">
        <v>209</v>
      </c>
      <c r="G22" s="11" t="s">
        <v>115</v>
      </c>
      <c r="H22" s="11" t="s">
        <v>210</v>
      </c>
      <c r="I22" s="11" t="s">
        <v>102</v>
      </c>
      <c r="J22" s="11" t="s">
        <v>211</v>
      </c>
      <c r="K22" s="11" t="s">
        <v>93</v>
      </c>
      <c r="L22" s="11" t="s">
        <v>94</v>
      </c>
      <c r="M22" s="13">
        <v>70.833333333333343</v>
      </c>
      <c r="N22" s="11" t="s">
        <v>104</v>
      </c>
      <c r="O22" s="11" t="s">
        <v>96</v>
      </c>
    </row>
    <row r="23" spans="1:15" ht="26.45" customHeight="1">
      <c r="A23" s="10" t="s">
        <v>212</v>
      </c>
      <c r="B23" s="10">
        <v>2025</v>
      </c>
      <c r="C23" s="10" t="s">
        <v>213</v>
      </c>
      <c r="D23" s="10" t="s">
        <v>119</v>
      </c>
      <c r="E23" s="10" t="s">
        <v>214</v>
      </c>
      <c r="F23" s="10" t="s">
        <v>215</v>
      </c>
      <c r="G23" s="10" t="s">
        <v>89</v>
      </c>
      <c r="H23" s="10" t="s">
        <v>90</v>
      </c>
      <c r="I23" s="10" t="s">
        <v>102</v>
      </c>
      <c r="J23" s="10" t="s">
        <v>103</v>
      </c>
      <c r="K23" s="10" t="s">
        <v>93</v>
      </c>
      <c r="L23" s="10" t="s">
        <v>177</v>
      </c>
      <c r="M23" s="14">
        <v>66.666666666666657</v>
      </c>
      <c r="N23" s="10" t="s">
        <v>95</v>
      </c>
      <c r="O23" s="10" t="s">
        <v>96</v>
      </c>
    </row>
    <row r="24" spans="1:15" ht="26.45" customHeight="1">
      <c r="A24" s="11" t="s">
        <v>216</v>
      </c>
      <c r="B24" s="11">
        <v>2025</v>
      </c>
      <c r="C24" s="11" t="s">
        <v>217</v>
      </c>
      <c r="D24" s="11" t="s">
        <v>119</v>
      </c>
      <c r="E24" s="11" t="s">
        <v>218</v>
      </c>
      <c r="F24" s="11" t="s">
        <v>219</v>
      </c>
      <c r="G24" s="11" t="s">
        <v>89</v>
      </c>
      <c r="H24" s="11" t="s">
        <v>90</v>
      </c>
      <c r="I24" s="11" t="s">
        <v>91</v>
      </c>
      <c r="J24" s="11" t="s">
        <v>103</v>
      </c>
      <c r="K24" s="11" t="s">
        <v>93</v>
      </c>
      <c r="L24" s="11" t="s">
        <v>94</v>
      </c>
      <c r="M24" s="13">
        <v>62.5</v>
      </c>
      <c r="N24" s="11" t="s">
        <v>95</v>
      </c>
      <c r="O24" s="11" t="s">
        <v>96</v>
      </c>
    </row>
    <row r="25" spans="1:15" ht="26.45" customHeight="1">
      <c r="A25" s="10" t="s">
        <v>220</v>
      </c>
      <c r="B25" s="10">
        <v>2025</v>
      </c>
      <c r="C25" s="10" t="s">
        <v>221</v>
      </c>
      <c r="D25" s="10" t="s">
        <v>119</v>
      </c>
      <c r="E25" s="10" t="s">
        <v>222</v>
      </c>
      <c r="F25" s="10" t="s">
        <v>223</v>
      </c>
      <c r="G25" s="10" t="s">
        <v>136</v>
      </c>
      <c r="H25" s="10" t="s">
        <v>137</v>
      </c>
      <c r="I25" s="10" t="s">
        <v>102</v>
      </c>
      <c r="J25" s="10" t="s">
        <v>211</v>
      </c>
      <c r="K25" s="10" t="s">
        <v>110</v>
      </c>
      <c r="L25" s="10" t="s">
        <v>94</v>
      </c>
      <c r="M25" s="14">
        <v>87.5</v>
      </c>
      <c r="N25" s="10" t="s">
        <v>104</v>
      </c>
      <c r="O25" s="10" t="s">
        <v>96</v>
      </c>
    </row>
    <row r="26" spans="1:15" ht="28.5">
      <c r="A26" s="11" t="s">
        <v>224</v>
      </c>
      <c r="B26" s="11">
        <v>2025</v>
      </c>
      <c r="C26" s="11" t="s">
        <v>225</v>
      </c>
      <c r="D26" s="11" t="s">
        <v>119</v>
      </c>
      <c r="E26" s="11" t="s">
        <v>218</v>
      </c>
      <c r="F26" s="11" t="s">
        <v>226</v>
      </c>
      <c r="G26" s="11" t="s">
        <v>89</v>
      </c>
      <c r="H26" s="11" t="s">
        <v>90</v>
      </c>
      <c r="I26" s="11" t="s">
        <v>91</v>
      </c>
      <c r="J26" s="11" t="s">
        <v>103</v>
      </c>
      <c r="K26" s="11" t="s">
        <v>93</v>
      </c>
      <c r="L26" s="11" t="s">
        <v>94</v>
      </c>
      <c r="M26" s="13">
        <v>95.833333333333343</v>
      </c>
      <c r="N26" s="11" t="s">
        <v>104</v>
      </c>
      <c r="O26" s="11" t="s">
        <v>96</v>
      </c>
    </row>
    <row r="27" spans="1:15" ht="26.45" customHeight="1">
      <c r="A27" s="10" t="s">
        <v>227</v>
      </c>
      <c r="B27" s="10">
        <v>2025</v>
      </c>
      <c r="C27" s="10" t="s">
        <v>228</v>
      </c>
      <c r="D27" s="10" t="s">
        <v>119</v>
      </c>
      <c r="E27" s="10" t="s">
        <v>229</v>
      </c>
      <c r="F27" s="10" t="s">
        <v>230</v>
      </c>
      <c r="G27" s="10" t="s">
        <v>115</v>
      </c>
      <c r="H27" s="10" t="s">
        <v>116</v>
      </c>
      <c r="I27" s="10" t="s">
        <v>122</v>
      </c>
      <c r="J27" s="10" t="s">
        <v>123</v>
      </c>
      <c r="K27" s="10" t="s">
        <v>93</v>
      </c>
      <c r="L27" s="10" t="s">
        <v>94</v>
      </c>
      <c r="M27" s="14">
        <v>58.333333333333336</v>
      </c>
      <c r="N27" s="10" t="s">
        <v>95</v>
      </c>
      <c r="O27" s="10" t="s">
        <v>96</v>
      </c>
    </row>
    <row r="28" spans="1:15" ht="26.45" customHeight="1">
      <c r="A28" s="11" t="s">
        <v>231</v>
      </c>
      <c r="B28" s="11">
        <v>2025</v>
      </c>
      <c r="C28" s="11" t="s">
        <v>232</v>
      </c>
      <c r="D28" s="11" t="s">
        <v>166</v>
      </c>
      <c r="E28" s="11" t="s">
        <v>233</v>
      </c>
      <c r="F28" s="11" t="s">
        <v>234</v>
      </c>
      <c r="G28" s="11" t="s">
        <v>136</v>
      </c>
      <c r="H28" s="11" t="s">
        <v>235</v>
      </c>
      <c r="I28" s="11" t="s">
        <v>102</v>
      </c>
      <c r="J28" s="11" t="s">
        <v>211</v>
      </c>
      <c r="K28" s="11" t="s">
        <v>142</v>
      </c>
      <c r="L28" s="11" t="s">
        <v>157</v>
      </c>
      <c r="M28" s="13">
        <v>79.166666666666657</v>
      </c>
      <c r="N28" s="11" t="s">
        <v>104</v>
      </c>
      <c r="O28" s="11" t="s">
        <v>96</v>
      </c>
    </row>
    <row r="29" spans="1:15" ht="26.45" customHeight="1">
      <c r="A29" s="10" t="s">
        <v>236</v>
      </c>
      <c r="B29" s="10">
        <v>2025</v>
      </c>
      <c r="C29" s="10" t="s">
        <v>237</v>
      </c>
      <c r="D29" s="10" t="s">
        <v>166</v>
      </c>
      <c r="E29" s="10" t="s">
        <v>238</v>
      </c>
      <c r="F29" s="10" t="s">
        <v>239</v>
      </c>
      <c r="G29" s="10" t="s">
        <v>115</v>
      </c>
      <c r="H29" s="10" t="s">
        <v>240</v>
      </c>
      <c r="I29" s="10" t="s">
        <v>109</v>
      </c>
      <c r="J29" s="10" t="s">
        <v>211</v>
      </c>
      <c r="K29" s="10" t="s">
        <v>93</v>
      </c>
      <c r="L29" s="10" t="s">
        <v>94</v>
      </c>
      <c r="M29" s="14">
        <v>79.166666666666657</v>
      </c>
      <c r="N29" s="10" t="s">
        <v>104</v>
      </c>
      <c r="O29" s="10" t="s">
        <v>96</v>
      </c>
    </row>
    <row r="30" spans="1:15" ht="26.45" customHeight="1">
      <c r="A30" s="11" t="s">
        <v>241</v>
      </c>
      <c r="B30" s="11">
        <v>2025</v>
      </c>
      <c r="C30" s="11" t="s">
        <v>242</v>
      </c>
      <c r="D30" s="11" t="s">
        <v>154</v>
      </c>
      <c r="E30" s="11" t="s">
        <v>243</v>
      </c>
      <c r="F30" s="11" t="s">
        <v>244</v>
      </c>
      <c r="G30" s="11" t="s">
        <v>174</v>
      </c>
      <c r="H30" s="11" t="s">
        <v>245</v>
      </c>
      <c r="I30" s="11" t="s">
        <v>91</v>
      </c>
      <c r="J30" s="11" t="s">
        <v>103</v>
      </c>
      <c r="K30" s="11" t="s">
        <v>93</v>
      </c>
      <c r="L30" s="11" t="s">
        <v>94</v>
      </c>
      <c r="M30" s="13">
        <v>75</v>
      </c>
      <c r="N30" s="11" t="s">
        <v>104</v>
      </c>
      <c r="O30" s="11" t="s">
        <v>96</v>
      </c>
    </row>
    <row r="31" spans="1:15" ht="26.45" customHeight="1">
      <c r="A31" s="10" t="s">
        <v>246</v>
      </c>
      <c r="B31" s="10">
        <v>2024</v>
      </c>
      <c r="C31" s="10" t="s">
        <v>247</v>
      </c>
      <c r="D31" s="10" t="s">
        <v>154</v>
      </c>
      <c r="E31" s="10" t="s">
        <v>248</v>
      </c>
      <c r="F31" s="10" t="s">
        <v>249</v>
      </c>
      <c r="G31" s="10" t="s">
        <v>115</v>
      </c>
      <c r="H31" s="10" t="s">
        <v>116</v>
      </c>
      <c r="I31" s="10" t="s">
        <v>102</v>
      </c>
      <c r="J31" s="10" t="s">
        <v>103</v>
      </c>
      <c r="K31" s="10" t="s">
        <v>93</v>
      </c>
      <c r="L31" s="10" t="s">
        <v>157</v>
      </c>
      <c r="M31" s="14">
        <v>75</v>
      </c>
      <c r="N31" s="10" t="s">
        <v>104</v>
      </c>
      <c r="O31" s="10" t="s">
        <v>96</v>
      </c>
    </row>
    <row r="32" spans="1:15" ht="26.45" customHeight="1">
      <c r="A32" s="11" t="s">
        <v>250</v>
      </c>
      <c r="B32" s="11">
        <v>2026</v>
      </c>
      <c r="C32" s="11" t="s">
        <v>251</v>
      </c>
      <c r="D32" s="11" t="s">
        <v>166</v>
      </c>
      <c r="E32" s="11" t="s">
        <v>252</v>
      </c>
      <c r="F32" s="11" t="s">
        <v>253</v>
      </c>
      <c r="G32" s="11" t="s">
        <v>115</v>
      </c>
      <c r="H32" s="11" t="s">
        <v>210</v>
      </c>
      <c r="I32" s="11" t="s">
        <v>109</v>
      </c>
      <c r="J32" s="11" t="s">
        <v>211</v>
      </c>
      <c r="K32" s="11" t="s">
        <v>130</v>
      </c>
      <c r="L32" s="11" t="s">
        <v>157</v>
      </c>
      <c r="M32" s="13">
        <f>'Quality Assessment'!Q32</f>
        <v>91.666666666666657</v>
      </c>
      <c r="N32" s="11" t="str">
        <f>'Quality Assessment'!R32</f>
        <v>High</v>
      </c>
      <c r="O32" s="11" t="s">
        <v>96</v>
      </c>
    </row>
    <row r="33" spans="1:15" ht="26.45" customHeight="1">
      <c r="A33" s="10" t="s">
        <v>254</v>
      </c>
      <c r="B33" s="10">
        <v>2026</v>
      </c>
      <c r="C33" s="10" t="s">
        <v>255</v>
      </c>
      <c r="D33" s="10" t="s">
        <v>86</v>
      </c>
      <c r="E33" s="10" t="s">
        <v>256</v>
      </c>
      <c r="F33" s="10" t="s">
        <v>257</v>
      </c>
      <c r="G33" s="10" t="s">
        <v>89</v>
      </c>
      <c r="H33" s="10" t="s">
        <v>258</v>
      </c>
      <c r="I33" s="10" t="s">
        <v>109</v>
      </c>
      <c r="J33" s="10" t="s">
        <v>103</v>
      </c>
      <c r="K33" s="10" t="s">
        <v>110</v>
      </c>
      <c r="L33" s="10" t="s">
        <v>94</v>
      </c>
      <c r="M33" s="14">
        <f>'Quality Assessment'!Q33</f>
        <v>75</v>
      </c>
      <c r="N33" s="10" t="str">
        <f>'Quality Assessment'!R33</f>
        <v>High</v>
      </c>
      <c r="O33" s="10" t="s">
        <v>96</v>
      </c>
    </row>
    <row r="34" spans="1:15" ht="26.45" customHeight="1">
      <c r="A34" s="11" t="s">
        <v>259</v>
      </c>
      <c r="B34" s="11">
        <v>2026</v>
      </c>
      <c r="C34" s="11" t="s">
        <v>260</v>
      </c>
      <c r="D34" s="11" t="s">
        <v>166</v>
      </c>
      <c r="E34" s="11" t="s">
        <v>261</v>
      </c>
      <c r="F34" s="11" t="s">
        <v>262</v>
      </c>
      <c r="G34" s="11" t="s">
        <v>136</v>
      </c>
      <c r="H34" s="11" t="s">
        <v>263</v>
      </c>
      <c r="I34" s="11" t="s">
        <v>109</v>
      </c>
      <c r="J34" s="11" t="s">
        <v>92</v>
      </c>
      <c r="K34" s="11" t="s">
        <v>93</v>
      </c>
      <c r="L34" s="11" t="s">
        <v>94</v>
      </c>
      <c r="M34" s="13">
        <f>'Quality Assessment'!Q34</f>
        <v>100</v>
      </c>
      <c r="N34" s="11" t="str">
        <f>'Quality Assessment'!R34</f>
        <v>High</v>
      </c>
      <c r="O34" s="11" t="s">
        <v>96</v>
      </c>
    </row>
    <row r="35" spans="1:15" ht="26.45" customHeight="1">
      <c r="A35" s="10" t="s">
        <v>264</v>
      </c>
      <c r="B35" s="10">
        <v>2026</v>
      </c>
      <c r="C35" s="10" t="s">
        <v>265</v>
      </c>
      <c r="D35" s="10" t="s">
        <v>166</v>
      </c>
      <c r="E35" s="10" t="s">
        <v>266</v>
      </c>
      <c r="F35" s="10" t="s">
        <v>267</v>
      </c>
      <c r="G35" s="10" t="s">
        <v>115</v>
      </c>
      <c r="H35" s="10" t="s">
        <v>116</v>
      </c>
      <c r="I35" s="10" t="s">
        <v>122</v>
      </c>
      <c r="J35" s="10" t="s">
        <v>123</v>
      </c>
      <c r="K35" s="10" t="s">
        <v>93</v>
      </c>
      <c r="L35" s="10" t="s">
        <v>94</v>
      </c>
      <c r="M35" s="14">
        <f>'Quality Assessment'!Q35</f>
        <v>91.666666666666657</v>
      </c>
      <c r="N35" s="10" t="str">
        <f>'Quality Assessment'!R35</f>
        <v>High</v>
      </c>
      <c r="O35" s="10" t="s">
        <v>96</v>
      </c>
    </row>
    <row r="36" spans="1:15" ht="26.45" customHeight="1">
      <c r="A36" s="11" t="s">
        <v>268</v>
      </c>
      <c r="B36" s="11">
        <v>2026</v>
      </c>
      <c r="C36" s="11" t="s">
        <v>269</v>
      </c>
      <c r="D36" s="11" t="s">
        <v>166</v>
      </c>
      <c r="E36" s="11" t="s">
        <v>252</v>
      </c>
      <c r="F36" s="11" t="s">
        <v>270</v>
      </c>
      <c r="G36" s="11" t="s">
        <v>89</v>
      </c>
      <c r="H36" s="11" t="s">
        <v>271</v>
      </c>
      <c r="I36" s="11" t="s">
        <v>122</v>
      </c>
      <c r="J36" s="11" t="s">
        <v>123</v>
      </c>
      <c r="K36" s="11" t="s">
        <v>93</v>
      </c>
      <c r="L36" s="11" t="s">
        <v>157</v>
      </c>
      <c r="M36" s="13">
        <f>'Quality Assessment'!Q36</f>
        <v>95.833333333333343</v>
      </c>
      <c r="N36" s="11" t="str">
        <f>'Quality Assessment'!R36</f>
        <v>High</v>
      </c>
      <c r="O36" s="11" t="s">
        <v>96</v>
      </c>
    </row>
    <row r="37" spans="1:15" ht="26.45" customHeight="1">
      <c r="A37" s="10" t="s">
        <v>272</v>
      </c>
      <c r="B37" s="10">
        <v>2026</v>
      </c>
      <c r="C37" s="10" t="s">
        <v>273</v>
      </c>
      <c r="D37" s="10" t="s">
        <v>119</v>
      </c>
      <c r="E37" s="10" t="s">
        <v>274</v>
      </c>
      <c r="F37" s="10" t="s">
        <v>275</v>
      </c>
      <c r="G37" s="10" t="s">
        <v>136</v>
      </c>
      <c r="H37" s="10" t="s">
        <v>163</v>
      </c>
      <c r="I37" s="10" t="s">
        <v>102</v>
      </c>
      <c r="J37" s="10" t="s">
        <v>103</v>
      </c>
      <c r="K37" s="10" t="s">
        <v>93</v>
      </c>
      <c r="L37" s="10" t="s">
        <v>157</v>
      </c>
      <c r="M37" s="14">
        <f>'Quality Assessment'!Q37</f>
        <v>95.833333333333343</v>
      </c>
      <c r="N37" s="10" t="str">
        <f>'Quality Assessment'!R37</f>
        <v>High</v>
      </c>
      <c r="O37" s="10" t="s">
        <v>96</v>
      </c>
    </row>
    <row r="38" spans="1:15" ht="39.6" customHeight="1">
      <c r="A38" s="11" t="s">
        <v>276</v>
      </c>
      <c r="B38" s="11">
        <v>2026</v>
      </c>
      <c r="C38" s="11" t="s">
        <v>277</v>
      </c>
      <c r="D38" s="11" t="s">
        <v>154</v>
      </c>
      <c r="E38" s="11" t="s">
        <v>278</v>
      </c>
      <c r="F38" s="11" t="s">
        <v>279</v>
      </c>
      <c r="G38" s="11" t="s">
        <v>89</v>
      </c>
      <c r="H38" s="11" t="s">
        <v>90</v>
      </c>
      <c r="I38" s="11" t="s">
        <v>91</v>
      </c>
      <c r="J38" s="11" t="s">
        <v>92</v>
      </c>
      <c r="K38" s="11" t="s">
        <v>93</v>
      </c>
      <c r="L38" s="11" t="s">
        <v>143</v>
      </c>
      <c r="M38" s="13">
        <f>'Quality Assessment'!Q38</f>
        <v>100</v>
      </c>
      <c r="N38" s="11" t="str">
        <f>'Quality Assessment'!R38</f>
        <v>High</v>
      </c>
      <c r="O38" s="1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4.25"/>
  <cols>
    <col min="1" max="1" width="11" customWidth="1"/>
    <col min="2" max="2" width="48" customWidth="1"/>
    <col min="3" max="3" width="50" customWidth="1"/>
    <col min="4" max="5" width="46" customWidth="1"/>
    <col min="6" max="6" width="60" customWidth="1"/>
    <col min="7" max="7" width="54" customWidth="1"/>
    <col min="8" max="8" width="62" customWidth="1"/>
    <col min="9" max="9" width="54" customWidth="1"/>
  </cols>
  <sheetData>
    <row r="1" spans="1:9" ht="15">
      <c r="A1" s="3" t="s">
        <v>70</v>
      </c>
      <c r="B1" s="3" t="s">
        <v>280</v>
      </c>
      <c r="C1" s="3" t="s">
        <v>281</v>
      </c>
      <c r="D1" s="3" t="s">
        <v>282</v>
      </c>
      <c r="E1" s="3" t="s">
        <v>283</v>
      </c>
      <c r="F1" s="3" t="s">
        <v>284</v>
      </c>
      <c r="G1" s="3" t="s">
        <v>285</v>
      </c>
      <c r="H1" s="3" t="s">
        <v>286</v>
      </c>
      <c r="I1" s="3" t="s">
        <v>287</v>
      </c>
    </row>
    <row r="2" spans="1:9" ht="28.5">
      <c r="A2" s="11" t="s">
        <v>84</v>
      </c>
      <c r="B2" s="11" t="s">
        <v>288</v>
      </c>
      <c r="C2" s="11" t="s">
        <v>289</v>
      </c>
      <c r="D2" s="11" t="s">
        <v>290</v>
      </c>
      <c r="E2" s="11" t="s">
        <v>291</v>
      </c>
      <c r="F2" s="11" t="s">
        <v>292</v>
      </c>
      <c r="G2" s="11" t="s">
        <v>293</v>
      </c>
      <c r="H2" s="11" t="s">
        <v>294</v>
      </c>
      <c r="I2" s="11" t="s">
        <v>295</v>
      </c>
    </row>
    <row r="3" spans="1:9" ht="42.75">
      <c r="A3" s="10" t="s">
        <v>97</v>
      </c>
      <c r="B3" s="10" t="s">
        <v>296</v>
      </c>
      <c r="C3" s="10" t="s">
        <v>297</v>
      </c>
      <c r="D3" s="10" t="s">
        <v>298</v>
      </c>
      <c r="E3" s="10" t="s">
        <v>299</v>
      </c>
      <c r="F3" s="10" t="s">
        <v>300</v>
      </c>
      <c r="G3" s="10" t="s">
        <v>301</v>
      </c>
      <c r="H3" s="10" t="s">
        <v>302</v>
      </c>
      <c r="I3" s="10" t="s">
        <v>295</v>
      </c>
    </row>
    <row r="4" spans="1:9" ht="42.75">
      <c r="A4" s="11" t="s">
        <v>105</v>
      </c>
      <c r="B4" s="11" t="s">
        <v>303</v>
      </c>
      <c r="C4" s="11" t="s">
        <v>304</v>
      </c>
      <c r="D4" s="11" t="s">
        <v>305</v>
      </c>
      <c r="E4" s="11" t="s">
        <v>306</v>
      </c>
      <c r="F4" s="11" t="s">
        <v>307</v>
      </c>
      <c r="G4" s="11" t="s">
        <v>308</v>
      </c>
      <c r="H4" s="11" t="s">
        <v>309</v>
      </c>
      <c r="I4" s="11" t="s">
        <v>295</v>
      </c>
    </row>
    <row r="5" spans="1:9" ht="28.5">
      <c r="A5" s="10" t="s">
        <v>111</v>
      </c>
      <c r="B5" s="10" t="s">
        <v>310</v>
      </c>
      <c r="C5" s="10" t="s">
        <v>311</v>
      </c>
      <c r="D5" s="10" t="s">
        <v>312</v>
      </c>
      <c r="E5" s="10" t="s">
        <v>313</v>
      </c>
      <c r="F5" s="10" t="s">
        <v>314</v>
      </c>
      <c r="G5" s="10" t="s">
        <v>315</v>
      </c>
      <c r="H5" s="10" t="s">
        <v>316</v>
      </c>
      <c r="I5" s="10" t="s">
        <v>295</v>
      </c>
    </row>
    <row r="6" spans="1:9" ht="42.75">
      <c r="A6" s="11" t="s">
        <v>117</v>
      </c>
      <c r="B6" s="11" t="s">
        <v>317</v>
      </c>
      <c r="C6" s="11" t="s">
        <v>318</v>
      </c>
      <c r="D6" s="11" t="s">
        <v>319</v>
      </c>
      <c r="E6" s="11" t="s">
        <v>306</v>
      </c>
      <c r="F6" s="11" t="s">
        <v>320</v>
      </c>
      <c r="G6" s="11" t="s">
        <v>321</v>
      </c>
      <c r="H6" s="11" t="s">
        <v>322</v>
      </c>
      <c r="I6" s="11" t="s">
        <v>295</v>
      </c>
    </row>
    <row r="7" spans="1:9" ht="42.75">
      <c r="A7" s="10" t="s">
        <v>125</v>
      </c>
      <c r="B7" s="10" t="s">
        <v>323</v>
      </c>
      <c r="C7" s="10" t="s">
        <v>324</v>
      </c>
      <c r="D7" s="10" t="s">
        <v>325</v>
      </c>
      <c r="E7" s="10" t="s">
        <v>325</v>
      </c>
      <c r="F7" s="10" t="s">
        <v>326</v>
      </c>
      <c r="G7" s="10" t="s">
        <v>327</v>
      </c>
      <c r="H7" s="10" t="s">
        <v>328</v>
      </c>
      <c r="I7" s="10" t="s">
        <v>329</v>
      </c>
    </row>
    <row r="8" spans="1:9" ht="28.5">
      <c r="A8" s="11" t="s">
        <v>132</v>
      </c>
      <c r="B8" s="11" t="s">
        <v>330</v>
      </c>
      <c r="C8" s="11" t="s">
        <v>311</v>
      </c>
      <c r="D8" s="11" t="s">
        <v>331</v>
      </c>
      <c r="E8" s="11" t="s">
        <v>313</v>
      </c>
      <c r="F8" s="11" t="s">
        <v>332</v>
      </c>
      <c r="G8" s="11" t="s">
        <v>333</v>
      </c>
      <c r="H8" s="11" t="s">
        <v>334</v>
      </c>
      <c r="I8" s="11" t="s">
        <v>295</v>
      </c>
    </row>
    <row r="9" spans="1:9" ht="42.75">
      <c r="A9" s="10" t="s">
        <v>138</v>
      </c>
      <c r="B9" s="10" t="s">
        <v>335</v>
      </c>
      <c r="C9" s="10" t="s">
        <v>336</v>
      </c>
      <c r="D9" s="10" t="s">
        <v>312</v>
      </c>
      <c r="E9" s="10" t="s">
        <v>299</v>
      </c>
      <c r="F9" s="10" t="s">
        <v>337</v>
      </c>
      <c r="G9" s="10" t="s">
        <v>338</v>
      </c>
      <c r="H9" s="10" t="s">
        <v>339</v>
      </c>
      <c r="I9" s="10" t="s">
        <v>340</v>
      </c>
    </row>
    <row r="10" spans="1:9" ht="28.5">
      <c r="A10" s="11" t="s">
        <v>144</v>
      </c>
      <c r="B10" s="11" t="s">
        <v>341</v>
      </c>
      <c r="C10" s="11" t="s">
        <v>342</v>
      </c>
      <c r="D10" s="11" t="s">
        <v>312</v>
      </c>
      <c r="E10" s="11" t="s">
        <v>299</v>
      </c>
      <c r="F10" s="11" t="s">
        <v>343</v>
      </c>
      <c r="G10" s="11" t="s">
        <v>344</v>
      </c>
      <c r="H10" s="11" t="s">
        <v>345</v>
      </c>
      <c r="I10" s="11" t="s">
        <v>346</v>
      </c>
    </row>
    <row r="11" spans="1:9" ht="28.5">
      <c r="A11" s="10" t="s">
        <v>149</v>
      </c>
      <c r="B11" s="10" t="s">
        <v>347</v>
      </c>
      <c r="C11" s="10" t="s">
        <v>336</v>
      </c>
      <c r="D11" s="10" t="s">
        <v>348</v>
      </c>
      <c r="E11" s="10" t="s">
        <v>299</v>
      </c>
      <c r="F11" s="10" t="s">
        <v>349</v>
      </c>
      <c r="G11" s="10" t="s">
        <v>350</v>
      </c>
      <c r="H11" s="10" t="s">
        <v>351</v>
      </c>
      <c r="I11" s="10" t="s">
        <v>295</v>
      </c>
    </row>
    <row r="12" spans="1:9" ht="28.5">
      <c r="A12" s="11" t="s">
        <v>152</v>
      </c>
      <c r="B12" s="11" t="s">
        <v>347</v>
      </c>
      <c r="C12" s="11" t="s">
        <v>352</v>
      </c>
      <c r="D12" s="11" t="s">
        <v>353</v>
      </c>
      <c r="E12" s="11" t="s">
        <v>354</v>
      </c>
      <c r="F12" s="11" t="s">
        <v>355</v>
      </c>
      <c r="G12" s="11" t="s">
        <v>356</v>
      </c>
      <c r="H12" s="11" t="s">
        <v>357</v>
      </c>
      <c r="I12" s="11" t="s">
        <v>295</v>
      </c>
    </row>
    <row r="13" spans="1:9" ht="28.5">
      <c r="A13" s="10" t="s">
        <v>158</v>
      </c>
      <c r="B13" s="10" t="s">
        <v>163</v>
      </c>
      <c r="C13" s="10" t="s">
        <v>358</v>
      </c>
      <c r="D13" s="10" t="s">
        <v>359</v>
      </c>
      <c r="E13" s="10" t="s">
        <v>299</v>
      </c>
      <c r="F13" s="10" t="s">
        <v>360</v>
      </c>
      <c r="G13" s="10" t="s">
        <v>361</v>
      </c>
      <c r="H13" s="10" t="s">
        <v>362</v>
      </c>
      <c r="I13" s="10" t="s">
        <v>295</v>
      </c>
    </row>
    <row r="14" spans="1:9" ht="42.75">
      <c r="A14" s="11" t="s">
        <v>164</v>
      </c>
      <c r="B14" s="11" t="s">
        <v>363</v>
      </c>
      <c r="C14" s="11" t="s">
        <v>364</v>
      </c>
      <c r="D14" s="11" t="s">
        <v>365</v>
      </c>
      <c r="E14" s="11" t="s">
        <v>291</v>
      </c>
      <c r="F14" s="11" t="s">
        <v>366</v>
      </c>
      <c r="G14" s="11" t="s">
        <v>367</v>
      </c>
      <c r="H14" s="11" t="s">
        <v>368</v>
      </c>
      <c r="I14" s="11" t="s">
        <v>295</v>
      </c>
    </row>
    <row r="15" spans="1:9" ht="28.5">
      <c r="A15" s="10" t="s">
        <v>170</v>
      </c>
      <c r="B15" s="10" t="s">
        <v>369</v>
      </c>
      <c r="C15" s="10" t="s">
        <v>370</v>
      </c>
      <c r="D15" s="10" t="s">
        <v>371</v>
      </c>
      <c r="E15" s="10" t="s">
        <v>313</v>
      </c>
      <c r="F15" s="10" t="s">
        <v>372</v>
      </c>
      <c r="G15" s="10" t="s">
        <v>373</v>
      </c>
      <c r="H15" s="10" t="s">
        <v>374</v>
      </c>
      <c r="I15" s="10" t="s">
        <v>375</v>
      </c>
    </row>
    <row r="16" spans="1:9" ht="28.5">
      <c r="A16" s="11" t="s">
        <v>178</v>
      </c>
      <c r="B16" s="11" t="s">
        <v>376</v>
      </c>
      <c r="C16" s="11" t="s">
        <v>377</v>
      </c>
      <c r="D16" s="11" t="s">
        <v>378</v>
      </c>
      <c r="E16" s="11" t="s">
        <v>379</v>
      </c>
      <c r="F16" s="11" t="s">
        <v>380</v>
      </c>
      <c r="G16" s="11" t="s">
        <v>381</v>
      </c>
      <c r="H16" s="11" t="s">
        <v>382</v>
      </c>
      <c r="I16" s="11" t="s">
        <v>383</v>
      </c>
    </row>
    <row r="17" spans="1:9" ht="28.5">
      <c r="A17" s="10" t="s">
        <v>183</v>
      </c>
      <c r="B17" s="10" t="s">
        <v>384</v>
      </c>
      <c r="C17" s="10" t="s">
        <v>342</v>
      </c>
      <c r="D17" s="10" t="s">
        <v>385</v>
      </c>
      <c r="E17" s="10" t="s">
        <v>386</v>
      </c>
      <c r="F17" s="10" t="s">
        <v>387</v>
      </c>
      <c r="G17" s="10" t="s">
        <v>388</v>
      </c>
      <c r="H17" s="10" t="s">
        <v>389</v>
      </c>
      <c r="I17" s="10" t="s">
        <v>295</v>
      </c>
    </row>
    <row r="18" spans="1:9" ht="28.5">
      <c r="A18" s="11" t="s">
        <v>188</v>
      </c>
      <c r="B18" s="11" t="s">
        <v>390</v>
      </c>
      <c r="C18" s="11" t="s">
        <v>391</v>
      </c>
      <c r="D18" s="11" t="s">
        <v>392</v>
      </c>
      <c r="E18" s="11" t="s">
        <v>393</v>
      </c>
      <c r="F18" s="11" t="s">
        <v>394</v>
      </c>
      <c r="G18" s="11" t="s">
        <v>395</v>
      </c>
      <c r="H18" s="11" t="s">
        <v>396</v>
      </c>
      <c r="I18" s="11" t="s">
        <v>295</v>
      </c>
    </row>
    <row r="19" spans="1:9" ht="28.5">
      <c r="A19" s="10" t="s">
        <v>193</v>
      </c>
      <c r="B19" s="10" t="s">
        <v>397</v>
      </c>
      <c r="C19" s="10" t="s">
        <v>398</v>
      </c>
      <c r="D19" s="10" t="s">
        <v>399</v>
      </c>
      <c r="E19" s="10" t="s">
        <v>400</v>
      </c>
      <c r="F19" s="10" t="s">
        <v>401</v>
      </c>
      <c r="G19" s="10" t="s">
        <v>402</v>
      </c>
      <c r="H19" s="10" t="s">
        <v>403</v>
      </c>
      <c r="I19" s="10" t="s">
        <v>295</v>
      </c>
    </row>
    <row r="20" spans="1:9" ht="28.5">
      <c r="A20" s="11" t="s">
        <v>198</v>
      </c>
      <c r="B20" s="11" t="s">
        <v>404</v>
      </c>
      <c r="C20" s="11" t="s">
        <v>358</v>
      </c>
      <c r="D20" s="11" t="s">
        <v>405</v>
      </c>
      <c r="E20" s="11" t="s">
        <v>299</v>
      </c>
      <c r="F20" s="11" t="s">
        <v>406</v>
      </c>
      <c r="G20" s="11" t="s">
        <v>407</v>
      </c>
      <c r="H20" s="11" t="s">
        <v>408</v>
      </c>
      <c r="I20" s="11" t="s">
        <v>295</v>
      </c>
    </row>
    <row r="21" spans="1:9" ht="28.5">
      <c r="A21" s="10" t="s">
        <v>202</v>
      </c>
      <c r="B21" s="10" t="s">
        <v>347</v>
      </c>
      <c r="C21" s="10" t="s">
        <v>352</v>
      </c>
      <c r="D21" s="10" t="s">
        <v>409</v>
      </c>
      <c r="E21" s="10" t="s">
        <v>410</v>
      </c>
      <c r="F21" s="10" t="s">
        <v>411</v>
      </c>
      <c r="G21" s="10" t="s">
        <v>412</v>
      </c>
      <c r="H21" s="10" t="s">
        <v>413</v>
      </c>
      <c r="I21" s="10" t="s">
        <v>346</v>
      </c>
    </row>
    <row r="22" spans="1:9" ht="42.75">
      <c r="A22" s="11" t="s">
        <v>206</v>
      </c>
      <c r="B22" s="11" t="s">
        <v>414</v>
      </c>
      <c r="C22" s="11" t="s">
        <v>415</v>
      </c>
      <c r="D22" s="11" t="s">
        <v>416</v>
      </c>
      <c r="E22" s="11" t="s">
        <v>417</v>
      </c>
      <c r="F22" s="11" t="s">
        <v>418</v>
      </c>
      <c r="G22" s="11" t="s">
        <v>419</v>
      </c>
      <c r="H22" s="11" t="s">
        <v>420</v>
      </c>
      <c r="I22" s="11" t="s">
        <v>295</v>
      </c>
    </row>
    <row r="23" spans="1:9" ht="28.5">
      <c r="A23" s="10" t="s">
        <v>212</v>
      </c>
      <c r="B23" s="10" t="s">
        <v>421</v>
      </c>
      <c r="C23" s="10" t="s">
        <v>342</v>
      </c>
      <c r="D23" s="10" t="s">
        <v>422</v>
      </c>
      <c r="E23" s="10" t="s">
        <v>299</v>
      </c>
      <c r="F23" s="10" t="s">
        <v>423</v>
      </c>
      <c r="G23" s="10" t="s">
        <v>424</v>
      </c>
      <c r="H23" s="10" t="s">
        <v>425</v>
      </c>
      <c r="I23" s="10" t="s">
        <v>346</v>
      </c>
    </row>
    <row r="24" spans="1:9" ht="42.75">
      <c r="A24" s="11" t="s">
        <v>216</v>
      </c>
      <c r="B24" s="11" t="s">
        <v>426</v>
      </c>
      <c r="C24" s="11" t="s">
        <v>427</v>
      </c>
      <c r="D24" s="11" t="s">
        <v>428</v>
      </c>
      <c r="E24" s="11" t="s">
        <v>429</v>
      </c>
      <c r="F24" s="11" t="s">
        <v>430</v>
      </c>
      <c r="G24" s="11" t="s">
        <v>431</v>
      </c>
      <c r="H24" s="11" t="s">
        <v>432</v>
      </c>
      <c r="I24" s="11" t="s">
        <v>295</v>
      </c>
    </row>
    <row r="25" spans="1:9" ht="28.5">
      <c r="A25" s="10" t="s">
        <v>220</v>
      </c>
      <c r="B25" s="10" t="s">
        <v>433</v>
      </c>
      <c r="C25" s="10" t="s">
        <v>358</v>
      </c>
      <c r="D25" s="10" t="s">
        <v>434</v>
      </c>
      <c r="E25" s="10" t="s">
        <v>400</v>
      </c>
      <c r="F25" s="10" t="s">
        <v>435</v>
      </c>
      <c r="G25" s="10" t="s">
        <v>436</v>
      </c>
      <c r="H25" s="10" t="s">
        <v>437</v>
      </c>
      <c r="I25" s="10" t="s">
        <v>346</v>
      </c>
    </row>
    <row r="26" spans="1:9" ht="42.75">
      <c r="A26" s="11" t="s">
        <v>224</v>
      </c>
      <c r="B26" s="11" t="s">
        <v>426</v>
      </c>
      <c r="C26" s="11" t="s">
        <v>438</v>
      </c>
      <c r="D26" s="11" t="s">
        <v>439</v>
      </c>
      <c r="E26" s="11" t="s">
        <v>354</v>
      </c>
      <c r="F26" s="11" t="s">
        <v>440</v>
      </c>
      <c r="G26" s="11" t="s">
        <v>431</v>
      </c>
      <c r="H26" s="11" t="s">
        <v>441</v>
      </c>
      <c r="I26" s="11" t="s">
        <v>295</v>
      </c>
    </row>
    <row r="27" spans="1:9" ht="28.5">
      <c r="A27" s="10" t="s">
        <v>227</v>
      </c>
      <c r="B27" s="10" t="s">
        <v>442</v>
      </c>
      <c r="C27" s="10" t="s">
        <v>443</v>
      </c>
      <c r="D27" s="10" t="s">
        <v>353</v>
      </c>
      <c r="E27" s="10" t="s">
        <v>291</v>
      </c>
      <c r="F27" s="10" t="s">
        <v>444</v>
      </c>
      <c r="G27" s="10" t="s">
        <v>412</v>
      </c>
      <c r="H27" s="10" t="s">
        <v>445</v>
      </c>
      <c r="I27" s="10" t="s">
        <v>295</v>
      </c>
    </row>
    <row r="28" spans="1:9" ht="28.5">
      <c r="A28" s="11" t="s">
        <v>231</v>
      </c>
      <c r="B28" s="11" t="s">
        <v>446</v>
      </c>
      <c r="C28" s="11" t="s">
        <v>447</v>
      </c>
      <c r="D28" s="11" t="s">
        <v>448</v>
      </c>
      <c r="E28" s="11" t="s">
        <v>313</v>
      </c>
      <c r="F28" s="11" t="s">
        <v>449</v>
      </c>
      <c r="G28" s="11" t="s">
        <v>450</v>
      </c>
      <c r="H28" s="11" t="s">
        <v>451</v>
      </c>
      <c r="I28" s="11" t="s">
        <v>295</v>
      </c>
    </row>
    <row r="29" spans="1:9" ht="28.5">
      <c r="A29" s="10" t="s">
        <v>236</v>
      </c>
      <c r="B29" s="10" t="s">
        <v>452</v>
      </c>
      <c r="C29" s="10" t="s">
        <v>453</v>
      </c>
      <c r="D29" s="10" t="s">
        <v>454</v>
      </c>
      <c r="E29" s="10" t="s">
        <v>313</v>
      </c>
      <c r="F29" s="10" t="s">
        <v>455</v>
      </c>
      <c r="G29" s="10" t="s">
        <v>456</v>
      </c>
      <c r="H29" s="10" t="s">
        <v>457</v>
      </c>
      <c r="I29" s="10" t="s">
        <v>295</v>
      </c>
    </row>
    <row r="30" spans="1:9" ht="28.5">
      <c r="A30" s="11" t="s">
        <v>241</v>
      </c>
      <c r="B30" s="11" t="s">
        <v>245</v>
      </c>
      <c r="C30" s="11" t="s">
        <v>458</v>
      </c>
      <c r="D30" s="11" t="s">
        <v>459</v>
      </c>
      <c r="E30" s="11" t="s">
        <v>291</v>
      </c>
      <c r="F30" s="11" t="s">
        <v>460</v>
      </c>
      <c r="G30" s="11" t="s">
        <v>412</v>
      </c>
      <c r="H30" s="11" t="s">
        <v>461</v>
      </c>
      <c r="I30" s="11" t="s">
        <v>295</v>
      </c>
    </row>
    <row r="31" spans="1:9" ht="28.5">
      <c r="A31" s="10" t="s">
        <v>246</v>
      </c>
      <c r="B31" s="10" t="s">
        <v>462</v>
      </c>
      <c r="C31" s="10" t="s">
        <v>358</v>
      </c>
      <c r="D31" s="10" t="s">
        <v>392</v>
      </c>
      <c r="E31" s="10" t="s">
        <v>386</v>
      </c>
      <c r="F31" s="10" t="s">
        <v>463</v>
      </c>
      <c r="G31" s="10" t="s">
        <v>464</v>
      </c>
      <c r="H31" s="10" t="s">
        <v>465</v>
      </c>
      <c r="I31" s="10" t="s">
        <v>295</v>
      </c>
    </row>
    <row r="32" spans="1:9" ht="28.5">
      <c r="A32" s="11" t="s">
        <v>250</v>
      </c>
      <c r="B32" s="11" t="s">
        <v>466</v>
      </c>
      <c r="C32" s="11" t="s">
        <v>467</v>
      </c>
      <c r="D32" s="11" t="s">
        <v>468</v>
      </c>
      <c r="E32" s="11" t="s">
        <v>469</v>
      </c>
      <c r="F32" s="11" t="s">
        <v>470</v>
      </c>
      <c r="G32" s="11" t="s">
        <v>471</v>
      </c>
      <c r="H32" s="11" t="s">
        <v>472</v>
      </c>
      <c r="I32" s="11" t="s">
        <v>295</v>
      </c>
    </row>
    <row r="33" spans="1:9" ht="42.75">
      <c r="A33" s="10" t="s">
        <v>254</v>
      </c>
      <c r="B33" s="10" t="s">
        <v>473</v>
      </c>
      <c r="C33" s="10" t="s">
        <v>474</v>
      </c>
      <c r="D33" s="10" t="s">
        <v>331</v>
      </c>
      <c r="E33" s="10" t="s">
        <v>475</v>
      </c>
      <c r="F33" s="10" t="s">
        <v>476</v>
      </c>
      <c r="G33" s="10" t="s">
        <v>477</v>
      </c>
      <c r="H33" s="10" t="s">
        <v>478</v>
      </c>
      <c r="I33" s="10" t="s">
        <v>295</v>
      </c>
    </row>
    <row r="34" spans="1:9" ht="42.75">
      <c r="A34" s="11" t="s">
        <v>259</v>
      </c>
      <c r="B34" s="11" t="s">
        <v>479</v>
      </c>
      <c r="C34" s="11" t="s">
        <v>480</v>
      </c>
      <c r="D34" s="11" t="s">
        <v>481</v>
      </c>
      <c r="E34" s="11" t="s">
        <v>299</v>
      </c>
      <c r="F34" s="11" t="s">
        <v>482</v>
      </c>
      <c r="G34" s="11" t="s">
        <v>483</v>
      </c>
      <c r="H34" s="11" t="s">
        <v>484</v>
      </c>
      <c r="I34" s="11" t="s">
        <v>295</v>
      </c>
    </row>
    <row r="35" spans="1:9" ht="28.5">
      <c r="A35" s="10" t="s">
        <v>264</v>
      </c>
      <c r="B35" s="10" t="s">
        <v>485</v>
      </c>
      <c r="C35" s="10" t="s">
        <v>486</v>
      </c>
      <c r="D35" s="10" t="s">
        <v>487</v>
      </c>
      <c r="E35" s="10" t="s">
        <v>354</v>
      </c>
      <c r="F35" s="10" t="s">
        <v>488</v>
      </c>
      <c r="G35" s="10" t="s">
        <v>412</v>
      </c>
      <c r="H35" s="10" t="s">
        <v>489</v>
      </c>
      <c r="I35" s="10" t="s">
        <v>295</v>
      </c>
    </row>
    <row r="36" spans="1:9" ht="42.75">
      <c r="A36" s="11" t="s">
        <v>268</v>
      </c>
      <c r="B36" s="11" t="s">
        <v>490</v>
      </c>
      <c r="C36" s="11" t="s">
        <v>491</v>
      </c>
      <c r="D36" s="11" t="s">
        <v>487</v>
      </c>
      <c r="E36" s="11" t="s">
        <v>492</v>
      </c>
      <c r="F36" s="11" t="s">
        <v>493</v>
      </c>
      <c r="G36" s="11" t="s">
        <v>412</v>
      </c>
      <c r="H36" s="11" t="s">
        <v>494</v>
      </c>
      <c r="I36" s="11" t="s">
        <v>295</v>
      </c>
    </row>
    <row r="37" spans="1:9" ht="42.75">
      <c r="A37" s="10" t="s">
        <v>272</v>
      </c>
      <c r="B37" s="10" t="s">
        <v>495</v>
      </c>
      <c r="C37" s="10" t="s">
        <v>496</v>
      </c>
      <c r="D37" s="10" t="s">
        <v>497</v>
      </c>
      <c r="E37" s="10" t="s">
        <v>498</v>
      </c>
      <c r="F37" s="10" t="s">
        <v>499</v>
      </c>
      <c r="G37" s="10" t="s">
        <v>500</v>
      </c>
      <c r="H37" s="10" t="s">
        <v>501</v>
      </c>
      <c r="I37" s="10" t="s">
        <v>295</v>
      </c>
    </row>
    <row r="38" spans="1:9" ht="28.5">
      <c r="A38" s="11" t="s">
        <v>276</v>
      </c>
      <c r="B38" s="11" t="s">
        <v>502</v>
      </c>
      <c r="C38" s="11" t="s">
        <v>503</v>
      </c>
      <c r="D38" s="11" t="s">
        <v>504</v>
      </c>
      <c r="E38" s="11" t="s">
        <v>498</v>
      </c>
      <c r="F38" s="11" t="s">
        <v>505</v>
      </c>
      <c r="G38" s="11" t="s">
        <v>412</v>
      </c>
      <c r="H38" s="11" t="s">
        <v>506</v>
      </c>
      <c r="I38" s="11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8"/>
  <sheetViews>
    <sheetView showGridLines="0" workbookViewId="0">
      <pane ySplit="1" topLeftCell="A5" activePane="bottomLeft" state="frozen"/>
      <selection pane="bottomLeft" activeCell="F15" sqref="F15"/>
    </sheetView>
  </sheetViews>
  <sheetFormatPr defaultRowHeight="14.25"/>
  <cols>
    <col min="1" max="1" width="11" customWidth="1"/>
    <col min="2" max="14" width="9" customWidth="1"/>
    <col min="15" max="15" width="13" customWidth="1"/>
    <col min="16" max="16" width="17" customWidth="1"/>
    <col min="17" max="17" width="18" customWidth="1"/>
    <col min="18" max="18" width="15" customWidth="1"/>
  </cols>
  <sheetData>
    <row r="1" spans="1:18" ht="15">
      <c r="A1" s="3" t="s">
        <v>70</v>
      </c>
      <c r="B1" s="3" t="s">
        <v>71</v>
      </c>
      <c r="C1" s="3" t="s">
        <v>507</v>
      </c>
      <c r="D1" s="3" t="s">
        <v>508</v>
      </c>
      <c r="E1" s="3" t="s">
        <v>509</v>
      </c>
      <c r="F1" s="3" t="s">
        <v>510</v>
      </c>
      <c r="G1" s="3" t="s">
        <v>511</v>
      </c>
      <c r="H1" s="3" t="s">
        <v>512</v>
      </c>
      <c r="I1" s="3" t="s">
        <v>513</v>
      </c>
      <c r="J1" s="3" t="s">
        <v>514</v>
      </c>
      <c r="K1" s="3" t="s">
        <v>515</v>
      </c>
      <c r="L1" s="3" t="s">
        <v>516</v>
      </c>
      <c r="M1" s="3" t="s">
        <v>517</v>
      </c>
      <c r="N1" s="3" t="s">
        <v>518</v>
      </c>
      <c r="O1" s="3" t="s">
        <v>519</v>
      </c>
      <c r="P1" s="3" t="s">
        <v>520</v>
      </c>
      <c r="Q1" s="3" t="s">
        <v>81</v>
      </c>
      <c r="R1" s="3" t="s">
        <v>82</v>
      </c>
    </row>
    <row r="2" spans="1:18">
      <c r="A2" s="11" t="s">
        <v>84</v>
      </c>
      <c r="B2" s="11">
        <v>2026</v>
      </c>
      <c r="C2" s="11">
        <v>1</v>
      </c>
      <c r="D2" s="11">
        <v>0.5</v>
      </c>
      <c r="E2" s="11">
        <v>0.5</v>
      </c>
      <c r="F2" s="11">
        <v>0.5</v>
      </c>
      <c r="G2" s="11">
        <v>0.5</v>
      </c>
      <c r="H2" s="11">
        <v>1</v>
      </c>
      <c r="I2" s="11">
        <v>1</v>
      </c>
      <c r="J2" s="11">
        <v>0</v>
      </c>
      <c r="K2" s="11">
        <v>0.5</v>
      </c>
      <c r="L2" s="11">
        <v>0</v>
      </c>
      <c r="M2" s="11">
        <v>0.5</v>
      </c>
      <c r="N2" s="11">
        <v>0.5</v>
      </c>
      <c r="O2" s="11">
        <f t="shared" ref="O2:O38" si="0">SUM(C2:N2)</f>
        <v>6.5</v>
      </c>
      <c r="P2" s="11">
        <f t="shared" ref="P2:P38" si="1">COUNT(C2:N2)</f>
        <v>12</v>
      </c>
      <c r="Q2" s="13">
        <f t="shared" ref="Q2:Q38" si="2">O2/P2*100</f>
        <v>54.166666666666664</v>
      </c>
      <c r="R2" s="11" t="str">
        <f t="shared" ref="R2:R38" si="3">IF(Q2&lt;40,"Low",IF(Q2&lt;70,"Moderate","High"))</f>
        <v>Moderate</v>
      </c>
    </row>
    <row r="3" spans="1:18">
      <c r="A3" s="10" t="s">
        <v>97</v>
      </c>
      <c r="B3" s="10">
        <v>2026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0.5</v>
      </c>
      <c r="K3" s="10">
        <v>1</v>
      </c>
      <c r="L3" s="10">
        <v>1</v>
      </c>
      <c r="M3" s="10">
        <v>1</v>
      </c>
      <c r="N3" s="10">
        <v>1</v>
      </c>
      <c r="O3" s="10">
        <f t="shared" si="0"/>
        <v>11.5</v>
      </c>
      <c r="P3" s="10">
        <f t="shared" si="1"/>
        <v>12</v>
      </c>
      <c r="Q3" s="14">
        <f t="shared" si="2"/>
        <v>95.833333333333343</v>
      </c>
      <c r="R3" s="10" t="str">
        <f t="shared" si="3"/>
        <v>High</v>
      </c>
    </row>
    <row r="4" spans="1:18">
      <c r="A4" s="11" t="s">
        <v>105</v>
      </c>
      <c r="B4" s="11">
        <v>2026</v>
      </c>
      <c r="C4" s="11">
        <v>1</v>
      </c>
      <c r="D4" s="11">
        <v>1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0.5</v>
      </c>
      <c r="K4" s="11">
        <v>1</v>
      </c>
      <c r="L4" s="11">
        <v>0.5</v>
      </c>
      <c r="M4" s="11">
        <v>1</v>
      </c>
      <c r="N4" s="11">
        <v>1</v>
      </c>
      <c r="O4" s="11">
        <f t="shared" si="0"/>
        <v>11</v>
      </c>
      <c r="P4" s="11">
        <f t="shared" si="1"/>
        <v>12</v>
      </c>
      <c r="Q4" s="13">
        <f t="shared" si="2"/>
        <v>91.666666666666657</v>
      </c>
      <c r="R4" s="11" t="str">
        <f t="shared" si="3"/>
        <v>High</v>
      </c>
    </row>
    <row r="5" spans="1:18">
      <c r="A5" s="10" t="s">
        <v>111</v>
      </c>
      <c r="B5" s="10">
        <v>2026</v>
      </c>
      <c r="C5" s="10">
        <v>1</v>
      </c>
      <c r="D5" s="10">
        <v>1</v>
      </c>
      <c r="E5" s="10">
        <v>0.5</v>
      </c>
      <c r="F5" s="10">
        <v>1</v>
      </c>
      <c r="G5" s="10">
        <v>1</v>
      </c>
      <c r="H5" s="10">
        <v>1</v>
      </c>
      <c r="I5" s="10">
        <v>1</v>
      </c>
      <c r="J5" s="10">
        <v>0.5</v>
      </c>
      <c r="K5" s="10">
        <v>1</v>
      </c>
      <c r="L5" s="10">
        <v>0</v>
      </c>
      <c r="M5" s="10">
        <v>1</v>
      </c>
      <c r="N5" s="10">
        <v>1</v>
      </c>
      <c r="O5" s="10">
        <f t="shared" si="0"/>
        <v>10</v>
      </c>
      <c r="P5" s="10">
        <f t="shared" si="1"/>
        <v>12</v>
      </c>
      <c r="Q5" s="14">
        <f t="shared" si="2"/>
        <v>83.333333333333343</v>
      </c>
      <c r="R5" s="10" t="str">
        <f t="shared" si="3"/>
        <v>High</v>
      </c>
    </row>
    <row r="6" spans="1:18">
      <c r="A6" s="11" t="s">
        <v>117</v>
      </c>
      <c r="B6" s="11">
        <v>2026</v>
      </c>
      <c r="C6" s="11">
        <v>1</v>
      </c>
      <c r="D6" s="11">
        <v>1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0.5</v>
      </c>
      <c r="K6" s="11">
        <v>1</v>
      </c>
      <c r="L6" s="11">
        <v>1</v>
      </c>
      <c r="M6" s="11">
        <v>1</v>
      </c>
      <c r="N6" s="11">
        <v>1</v>
      </c>
      <c r="O6" s="11">
        <f t="shared" si="0"/>
        <v>11.5</v>
      </c>
      <c r="P6" s="11">
        <f t="shared" si="1"/>
        <v>12</v>
      </c>
      <c r="Q6" s="13">
        <f t="shared" si="2"/>
        <v>95.833333333333343</v>
      </c>
      <c r="R6" s="11" t="str">
        <f t="shared" si="3"/>
        <v>High</v>
      </c>
    </row>
    <row r="7" spans="1:18">
      <c r="A7" s="10" t="s">
        <v>125</v>
      </c>
      <c r="B7" s="10">
        <v>2026</v>
      </c>
      <c r="C7" s="10">
        <v>1</v>
      </c>
      <c r="D7" s="10">
        <v>0.5</v>
      </c>
      <c r="E7" s="10">
        <v>1</v>
      </c>
      <c r="F7" s="10">
        <v>1</v>
      </c>
      <c r="G7" s="10">
        <v>1</v>
      </c>
      <c r="H7" s="10" t="s">
        <v>521</v>
      </c>
      <c r="I7" s="10">
        <v>1</v>
      </c>
      <c r="J7" s="10">
        <v>0.5</v>
      </c>
      <c r="K7" s="10">
        <v>1</v>
      </c>
      <c r="L7" s="10">
        <v>1</v>
      </c>
      <c r="M7" s="10">
        <v>1</v>
      </c>
      <c r="N7" s="10">
        <v>0.5</v>
      </c>
      <c r="O7" s="10">
        <f t="shared" si="0"/>
        <v>9.5</v>
      </c>
      <c r="P7" s="10">
        <f t="shared" si="1"/>
        <v>11</v>
      </c>
      <c r="Q7" s="14">
        <f t="shared" si="2"/>
        <v>86.36363636363636</v>
      </c>
      <c r="R7" s="10" t="str">
        <f t="shared" si="3"/>
        <v>High</v>
      </c>
    </row>
    <row r="8" spans="1:18">
      <c r="A8" s="11" t="s">
        <v>132</v>
      </c>
      <c r="B8" s="11">
        <v>2026</v>
      </c>
      <c r="C8" s="11">
        <v>1</v>
      </c>
      <c r="D8" s="11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0.5</v>
      </c>
      <c r="K8" s="11">
        <v>1</v>
      </c>
      <c r="L8" s="11">
        <v>1</v>
      </c>
      <c r="M8" s="11">
        <v>1</v>
      </c>
      <c r="N8" s="11">
        <v>1</v>
      </c>
      <c r="O8" s="11">
        <f t="shared" si="0"/>
        <v>11.5</v>
      </c>
      <c r="P8" s="11">
        <f t="shared" si="1"/>
        <v>12</v>
      </c>
      <c r="Q8" s="13">
        <f t="shared" si="2"/>
        <v>95.833333333333343</v>
      </c>
      <c r="R8" s="11" t="str">
        <f t="shared" si="3"/>
        <v>High</v>
      </c>
    </row>
    <row r="9" spans="1:18">
      <c r="A9" s="10" t="s">
        <v>138</v>
      </c>
      <c r="B9" s="10">
        <v>2026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0.5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f t="shared" si="0"/>
        <v>11.5</v>
      </c>
      <c r="P9" s="10">
        <f t="shared" si="1"/>
        <v>12</v>
      </c>
      <c r="Q9" s="14">
        <f t="shared" si="2"/>
        <v>95.833333333333343</v>
      </c>
      <c r="R9" s="10" t="str">
        <f t="shared" si="3"/>
        <v>High</v>
      </c>
    </row>
    <row r="10" spans="1:18">
      <c r="A10" s="11" t="s">
        <v>144</v>
      </c>
      <c r="B10" s="11">
        <v>2026</v>
      </c>
      <c r="C10" s="11">
        <v>1</v>
      </c>
      <c r="D10" s="11">
        <v>1</v>
      </c>
      <c r="E10" s="11">
        <v>1</v>
      </c>
      <c r="F10" s="11">
        <v>0.5</v>
      </c>
      <c r="G10" s="11">
        <v>0.5</v>
      </c>
      <c r="H10" s="11">
        <v>0</v>
      </c>
      <c r="I10" s="11">
        <v>0.5</v>
      </c>
      <c r="J10" s="11">
        <v>0.5</v>
      </c>
      <c r="K10" s="11">
        <v>0.5</v>
      </c>
      <c r="L10" s="11">
        <v>0</v>
      </c>
      <c r="M10" s="11">
        <v>1</v>
      </c>
      <c r="N10" s="11">
        <v>1</v>
      </c>
      <c r="O10" s="11">
        <f t="shared" si="0"/>
        <v>7.5</v>
      </c>
      <c r="P10" s="11">
        <f t="shared" si="1"/>
        <v>12</v>
      </c>
      <c r="Q10" s="13">
        <f t="shared" si="2"/>
        <v>62.5</v>
      </c>
      <c r="R10" s="11" t="str">
        <f t="shared" si="3"/>
        <v>Moderate</v>
      </c>
    </row>
    <row r="11" spans="1:18">
      <c r="A11" s="10" t="s">
        <v>149</v>
      </c>
      <c r="B11" s="10">
        <v>2026</v>
      </c>
      <c r="C11" s="10">
        <v>1</v>
      </c>
      <c r="D11" s="10">
        <v>1</v>
      </c>
      <c r="E11" s="10">
        <v>0.5</v>
      </c>
      <c r="F11" s="10">
        <v>0.5</v>
      </c>
      <c r="G11" s="10">
        <v>0.5</v>
      </c>
      <c r="H11" s="10">
        <v>1</v>
      </c>
      <c r="I11" s="10">
        <v>0.5</v>
      </c>
      <c r="J11" s="10">
        <v>0</v>
      </c>
      <c r="K11" s="10">
        <v>0.5</v>
      </c>
      <c r="L11" s="10">
        <v>0</v>
      </c>
      <c r="M11" s="10">
        <v>0.5</v>
      </c>
      <c r="N11" s="10">
        <v>1</v>
      </c>
      <c r="O11" s="10">
        <f t="shared" si="0"/>
        <v>7</v>
      </c>
      <c r="P11" s="10">
        <f t="shared" si="1"/>
        <v>12</v>
      </c>
      <c r="Q11" s="14">
        <f t="shared" si="2"/>
        <v>58.333333333333336</v>
      </c>
      <c r="R11" s="10" t="str">
        <f t="shared" si="3"/>
        <v>Moderate</v>
      </c>
    </row>
    <row r="12" spans="1:18">
      <c r="A12" s="11" t="s">
        <v>152</v>
      </c>
      <c r="B12" s="11">
        <v>2026</v>
      </c>
      <c r="C12" s="11">
        <v>1</v>
      </c>
      <c r="D12" s="11">
        <v>1</v>
      </c>
      <c r="E12" s="11">
        <v>1</v>
      </c>
      <c r="F12" s="11">
        <v>1</v>
      </c>
      <c r="G12" s="11">
        <v>1</v>
      </c>
      <c r="H12" s="11">
        <v>1</v>
      </c>
      <c r="I12" s="11">
        <v>1</v>
      </c>
      <c r="J12" s="11">
        <v>0.5</v>
      </c>
      <c r="K12" s="11">
        <v>1</v>
      </c>
      <c r="L12" s="11">
        <v>1</v>
      </c>
      <c r="M12" s="11">
        <v>1</v>
      </c>
      <c r="N12" s="11">
        <v>1</v>
      </c>
      <c r="O12" s="11">
        <f t="shared" si="0"/>
        <v>11.5</v>
      </c>
      <c r="P12" s="11">
        <f t="shared" si="1"/>
        <v>12</v>
      </c>
      <c r="Q12" s="13">
        <f t="shared" si="2"/>
        <v>95.833333333333343</v>
      </c>
      <c r="R12" s="11" t="str">
        <f t="shared" si="3"/>
        <v>High</v>
      </c>
    </row>
    <row r="13" spans="1:18">
      <c r="A13" s="10" t="s">
        <v>158</v>
      </c>
      <c r="B13" s="10">
        <v>2026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0.5</v>
      </c>
      <c r="K13" s="10">
        <v>1</v>
      </c>
      <c r="L13" s="10">
        <v>1</v>
      </c>
      <c r="M13" s="10">
        <v>1</v>
      </c>
      <c r="N13" s="10">
        <v>1</v>
      </c>
      <c r="O13" s="10">
        <f t="shared" si="0"/>
        <v>11.5</v>
      </c>
      <c r="P13" s="10">
        <f t="shared" si="1"/>
        <v>12</v>
      </c>
      <c r="Q13" s="14">
        <f t="shared" si="2"/>
        <v>95.833333333333343</v>
      </c>
      <c r="R13" s="10" t="str">
        <f t="shared" si="3"/>
        <v>High</v>
      </c>
    </row>
    <row r="14" spans="1:18">
      <c r="A14" s="11" t="s">
        <v>164</v>
      </c>
      <c r="B14" s="11">
        <v>2026</v>
      </c>
      <c r="C14" s="11">
        <v>1</v>
      </c>
      <c r="D14" s="11">
        <v>1</v>
      </c>
      <c r="E14" s="11">
        <v>1</v>
      </c>
      <c r="F14" s="11">
        <v>1</v>
      </c>
      <c r="G14" s="11">
        <v>1</v>
      </c>
      <c r="H14" s="11">
        <v>1</v>
      </c>
      <c r="I14" s="11">
        <v>1</v>
      </c>
      <c r="J14" s="11">
        <v>0.5</v>
      </c>
      <c r="K14" s="11">
        <v>1</v>
      </c>
      <c r="L14" s="11">
        <v>1</v>
      </c>
      <c r="M14" s="11">
        <v>1</v>
      </c>
      <c r="N14" s="11">
        <v>1</v>
      </c>
      <c r="O14" s="11">
        <f t="shared" si="0"/>
        <v>11.5</v>
      </c>
      <c r="P14" s="11">
        <f t="shared" si="1"/>
        <v>12</v>
      </c>
      <c r="Q14" s="13">
        <f t="shared" si="2"/>
        <v>95.833333333333343</v>
      </c>
      <c r="R14" s="11" t="str">
        <f t="shared" si="3"/>
        <v>High</v>
      </c>
    </row>
    <row r="15" spans="1:18">
      <c r="A15" s="10" t="s">
        <v>170</v>
      </c>
      <c r="B15" s="10">
        <v>2026</v>
      </c>
      <c r="C15" s="10">
        <v>1</v>
      </c>
      <c r="D15" s="10">
        <v>0.5</v>
      </c>
      <c r="E15" s="10">
        <v>0.5</v>
      </c>
      <c r="F15" s="10">
        <v>0.5</v>
      </c>
      <c r="G15" s="10">
        <v>0.5</v>
      </c>
      <c r="H15" s="10">
        <v>0.5</v>
      </c>
      <c r="I15" s="10">
        <v>0.5</v>
      </c>
      <c r="J15" s="10">
        <v>0</v>
      </c>
      <c r="K15" s="10">
        <v>0.5</v>
      </c>
      <c r="L15" s="10">
        <v>0</v>
      </c>
      <c r="M15" s="10">
        <v>1</v>
      </c>
      <c r="N15" s="10">
        <v>1</v>
      </c>
      <c r="O15" s="10">
        <f t="shared" si="0"/>
        <v>6.5</v>
      </c>
      <c r="P15" s="10">
        <f t="shared" si="1"/>
        <v>12</v>
      </c>
      <c r="Q15" s="14">
        <f t="shared" si="2"/>
        <v>54.166666666666664</v>
      </c>
      <c r="R15" s="10" t="str">
        <f t="shared" si="3"/>
        <v>Moderate</v>
      </c>
    </row>
    <row r="16" spans="1:18">
      <c r="A16" s="11" t="s">
        <v>178</v>
      </c>
      <c r="B16" s="11">
        <v>2026</v>
      </c>
      <c r="C16" s="11">
        <v>1</v>
      </c>
      <c r="D16" s="11">
        <v>1</v>
      </c>
      <c r="E16" s="11">
        <v>1</v>
      </c>
      <c r="F16" s="11">
        <v>1</v>
      </c>
      <c r="G16" s="11">
        <v>1</v>
      </c>
      <c r="H16" s="11">
        <v>0.5</v>
      </c>
      <c r="I16" s="11">
        <v>1</v>
      </c>
      <c r="J16" s="11">
        <v>0.5</v>
      </c>
      <c r="K16" s="11">
        <v>0.5</v>
      </c>
      <c r="L16" s="11">
        <v>0.5</v>
      </c>
      <c r="M16" s="11">
        <v>1</v>
      </c>
      <c r="N16" s="11">
        <v>1</v>
      </c>
      <c r="O16" s="11">
        <f t="shared" si="0"/>
        <v>10</v>
      </c>
      <c r="P16" s="11">
        <f t="shared" si="1"/>
        <v>12</v>
      </c>
      <c r="Q16" s="13">
        <f t="shared" si="2"/>
        <v>83.333333333333343</v>
      </c>
      <c r="R16" s="11" t="str">
        <f t="shared" si="3"/>
        <v>High</v>
      </c>
    </row>
    <row r="17" spans="1:18">
      <c r="A17" s="10" t="s">
        <v>183</v>
      </c>
      <c r="B17" s="10">
        <v>2026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0.5</v>
      </c>
      <c r="K17" s="10">
        <v>1</v>
      </c>
      <c r="L17" s="10">
        <v>1</v>
      </c>
      <c r="M17" s="10">
        <v>1</v>
      </c>
      <c r="N17" s="10">
        <v>1</v>
      </c>
      <c r="O17" s="10">
        <f t="shared" si="0"/>
        <v>11.5</v>
      </c>
      <c r="P17" s="10">
        <f t="shared" si="1"/>
        <v>12</v>
      </c>
      <c r="Q17" s="14">
        <f t="shared" si="2"/>
        <v>95.833333333333343</v>
      </c>
      <c r="R17" s="10" t="str">
        <f t="shared" si="3"/>
        <v>High</v>
      </c>
    </row>
    <row r="18" spans="1:18">
      <c r="A18" s="11" t="s">
        <v>188</v>
      </c>
      <c r="B18" s="11">
        <v>2026</v>
      </c>
      <c r="C18" s="11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11">
        <v>1</v>
      </c>
      <c r="J18" s="11">
        <v>0.5</v>
      </c>
      <c r="K18" s="11">
        <v>1</v>
      </c>
      <c r="L18" s="11">
        <v>1</v>
      </c>
      <c r="M18" s="11">
        <v>1</v>
      </c>
      <c r="N18" s="11">
        <v>1</v>
      </c>
      <c r="O18" s="11">
        <f t="shared" si="0"/>
        <v>11.5</v>
      </c>
      <c r="P18" s="11">
        <f t="shared" si="1"/>
        <v>12</v>
      </c>
      <c r="Q18" s="13">
        <f t="shared" si="2"/>
        <v>95.833333333333343</v>
      </c>
      <c r="R18" s="11" t="str">
        <f t="shared" si="3"/>
        <v>High</v>
      </c>
    </row>
    <row r="19" spans="1:18">
      <c r="A19" s="10" t="s">
        <v>193</v>
      </c>
      <c r="B19" s="10">
        <v>2026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0.5</v>
      </c>
      <c r="K19" s="10">
        <v>1</v>
      </c>
      <c r="L19" s="10">
        <v>1</v>
      </c>
      <c r="M19" s="10">
        <v>1</v>
      </c>
      <c r="N19" s="10">
        <v>1</v>
      </c>
      <c r="O19" s="10">
        <f t="shared" si="0"/>
        <v>11.5</v>
      </c>
      <c r="P19" s="10">
        <f t="shared" si="1"/>
        <v>12</v>
      </c>
      <c r="Q19" s="14">
        <f t="shared" si="2"/>
        <v>95.833333333333343</v>
      </c>
      <c r="R19" s="10" t="str">
        <f t="shared" si="3"/>
        <v>High</v>
      </c>
    </row>
    <row r="20" spans="1:18">
      <c r="A20" s="11" t="s">
        <v>198</v>
      </c>
      <c r="B20" s="11">
        <v>2025</v>
      </c>
      <c r="C20" s="11">
        <v>1</v>
      </c>
      <c r="D20" s="11">
        <v>1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  <c r="J20" s="11">
        <v>0.5</v>
      </c>
      <c r="K20" s="11">
        <v>1</v>
      </c>
      <c r="L20" s="11">
        <v>0.5</v>
      </c>
      <c r="M20" s="11">
        <v>1</v>
      </c>
      <c r="N20" s="11">
        <v>1</v>
      </c>
      <c r="O20" s="11">
        <f t="shared" si="0"/>
        <v>11</v>
      </c>
      <c r="P20" s="11">
        <f t="shared" si="1"/>
        <v>12</v>
      </c>
      <c r="Q20" s="13">
        <f t="shared" si="2"/>
        <v>91.666666666666657</v>
      </c>
      <c r="R20" s="11" t="str">
        <f t="shared" si="3"/>
        <v>High</v>
      </c>
    </row>
    <row r="21" spans="1:18">
      <c r="A21" s="10" t="s">
        <v>202</v>
      </c>
      <c r="B21" s="10">
        <v>2025</v>
      </c>
      <c r="C21" s="10">
        <v>1</v>
      </c>
      <c r="D21" s="10">
        <v>1</v>
      </c>
      <c r="E21" s="10">
        <v>1</v>
      </c>
      <c r="F21" s="10">
        <v>0.5</v>
      </c>
      <c r="G21" s="10">
        <v>0.5</v>
      </c>
      <c r="H21" s="10">
        <v>0</v>
      </c>
      <c r="I21" s="10">
        <v>0.5</v>
      </c>
      <c r="J21" s="10">
        <v>0.5</v>
      </c>
      <c r="K21" s="10">
        <v>1</v>
      </c>
      <c r="L21" s="10">
        <v>1</v>
      </c>
      <c r="M21" s="10">
        <v>0.5</v>
      </c>
      <c r="N21" s="10">
        <v>0.5</v>
      </c>
      <c r="O21" s="10">
        <f t="shared" si="0"/>
        <v>8</v>
      </c>
      <c r="P21" s="10">
        <f t="shared" si="1"/>
        <v>12</v>
      </c>
      <c r="Q21" s="14">
        <f t="shared" si="2"/>
        <v>66.666666666666657</v>
      </c>
      <c r="R21" s="10" t="str">
        <f t="shared" si="3"/>
        <v>Moderate</v>
      </c>
    </row>
    <row r="22" spans="1:18">
      <c r="A22" s="11" t="s">
        <v>206</v>
      </c>
      <c r="B22" s="11">
        <v>2025</v>
      </c>
      <c r="C22" s="11">
        <v>1</v>
      </c>
      <c r="D22" s="11">
        <v>1</v>
      </c>
      <c r="E22" s="11">
        <v>0.5</v>
      </c>
      <c r="F22" s="11">
        <v>0.5</v>
      </c>
      <c r="G22" s="11">
        <v>1</v>
      </c>
      <c r="H22" s="11">
        <v>1</v>
      </c>
      <c r="I22" s="11">
        <v>1</v>
      </c>
      <c r="J22" s="11">
        <v>0.5</v>
      </c>
      <c r="K22" s="11">
        <v>0.5</v>
      </c>
      <c r="L22" s="11">
        <v>0</v>
      </c>
      <c r="M22" s="11">
        <v>0.5</v>
      </c>
      <c r="N22" s="11">
        <v>1</v>
      </c>
      <c r="O22" s="11">
        <f t="shared" si="0"/>
        <v>8.5</v>
      </c>
      <c r="P22" s="11">
        <f t="shared" si="1"/>
        <v>12</v>
      </c>
      <c r="Q22" s="13">
        <f t="shared" si="2"/>
        <v>70.833333333333343</v>
      </c>
      <c r="R22" s="11" t="str">
        <f t="shared" si="3"/>
        <v>High</v>
      </c>
    </row>
    <row r="23" spans="1:18">
      <c r="A23" s="10" t="s">
        <v>212</v>
      </c>
      <c r="B23" s="10">
        <v>2025</v>
      </c>
      <c r="C23" s="10">
        <v>1</v>
      </c>
      <c r="D23" s="10">
        <v>1</v>
      </c>
      <c r="E23" s="10">
        <v>0.5</v>
      </c>
      <c r="F23" s="10">
        <v>0.5</v>
      </c>
      <c r="G23" s="10">
        <v>0.5</v>
      </c>
      <c r="H23" s="10">
        <v>0</v>
      </c>
      <c r="I23" s="10">
        <v>0.5</v>
      </c>
      <c r="J23" s="10">
        <v>0.5</v>
      </c>
      <c r="K23" s="10">
        <v>0.5</v>
      </c>
      <c r="L23" s="10">
        <v>1</v>
      </c>
      <c r="M23" s="10">
        <v>1</v>
      </c>
      <c r="N23" s="10">
        <v>1</v>
      </c>
      <c r="O23" s="10">
        <f t="shared" si="0"/>
        <v>8</v>
      </c>
      <c r="P23" s="10">
        <f t="shared" si="1"/>
        <v>12</v>
      </c>
      <c r="Q23" s="14">
        <f t="shared" si="2"/>
        <v>66.666666666666657</v>
      </c>
      <c r="R23" s="10" t="str">
        <f t="shared" si="3"/>
        <v>Moderate</v>
      </c>
    </row>
    <row r="24" spans="1:18">
      <c r="A24" s="11" t="s">
        <v>216</v>
      </c>
      <c r="B24" s="11">
        <v>2025</v>
      </c>
      <c r="C24" s="11">
        <v>1</v>
      </c>
      <c r="D24" s="11">
        <v>1</v>
      </c>
      <c r="E24" s="11">
        <v>0</v>
      </c>
      <c r="F24" s="11">
        <v>0.5</v>
      </c>
      <c r="G24" s="11">
        <v>0.5</v>
      </c>
      <c r="H24" s="11">
        <v>1</v>
      </c>
      <c r="I24" s="11">
        <v>0.5</v>
      </c>
      <c r="J24" s="11">
        <v>0</v>
      </c>
      <c r="K24" s="11">
        <v>0.5</v>
      </c>
      <c r="L24" s="11">
        <v>1</v>
      </c>
      <c r="M24" s="11">
        <v>1</v>
      </c>
      <c r="N24" s="11">
        <v>0.5</v>
      </c>
      <c r="O24" s="11">
        <f t="shared" si="0"/>
        <v>7.5</v>
      </c>
      <c r="P24" s="11">
        <f t="shared" si="1"/>
        <v>12</v>
      </c>
      <c r="Q24" s="13">
        <f t="shared" si="2"/>
        <v>62.5</v>
      </c>
      <c r="R24" s="11" t="str">
        <f t="shared" si="3"/>
        <v>Moderate</v>
      </c>
    </row>
    <row r="25" spans="1:18">
      <c r="A25" s="10" t="s">
        <v>220</v>
      </c>
      <c r="B25" s="10">
        <v>2025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0</v>
      </c>
      <c r="I25" s="10">
        <v>1</v>
      </c>
      <c r="J25" s="10">
        <v>0.5</v>
      </c>
      <c r="K25" s="10">
        <v>1</v>
      </c>
      <c r="L25" s="10">
        <v>1</v>
      </c>
      <c r="M25" s="10">
        <v>1</v>
      </c>
      <c r="N25" s="10">
        <v>1</v>
      </c>
      <c r="O25" s="10">
        <f t="shared" si="0"/>
        <v>10.5</v>
      </c>
      <c r="P25" s="10">
        <f t="shared" si="1"/>
        <v>12</v>
      </c>
      <c r="Q25" s="14">
        <f t="shared" si="2"/>
        <v>87.5</v>
      </c>
      <c r="R25" s="10" t="str">
        <f t="shared" si="3"/>
        <v>High</v>
      </c>
    </row>
    <row r="26" spans="1:18">
      <c r="A26" s="11" t="s">
        <v>224</v>
      </c>
      <c r="B26" s="11">
        <v>2025</v>
      </c>
      <c r="C26" s="11">
        <v>1</v>
      </c>
      <c r="D26" s="11">
        <v>1</v>
      </c>
      <c r="E26" s="11">
        <v>1</v>
      </c>
      <c r="F26" s="11">
        <v>1</v>
      </c>
      <c r="G26" s="11">
        <v>1</v>
      </c>
      <c r="H26" s="11">
        <v>1</v>
      </c>
      <c r="I26" s="11">
        <v>1</v>
      </c>
      <c r="J26" s="11">
        <v>0.5</v>
      </c>
      <c r="K26" s="11">
        <v>1</v>
      </c>
      <c r="L26" s="11">
        <v>1</v>
      </c>
      <c r="M26" s="11">
        <v>1</v>
      </c>
      <c r="N26" s="11">
        <v>1</v>
      </c>
      <c r="O26" s="11">
        <f t="shared" si="0"/>
        <v>11.5</v>
      </c>
      <c r="P26" s="11">
        <f t="shared" si="1"/>
        <v>12</v>
      </c>
      <c r="Q26" s="13">
        <f t="shared" si="2"/>
        <v>95.833333333333343</v>
      </c>
      <c r="R26" s="11" t="str">
        <f t="shared" si="3"/>
        <v>High</v>
      </c>
    </row>
    <row r="27" spans="1:18">
      <c r="A27" s="10" t="s">
        <v>227</v>
      </c>
      <c r="B27" s="10">
        <v>2025</v>
      </c>
      <c r="C27" s="10">
        <v>1</v>
      </c>
      <c r="D27" s="10">
        <v>1</v>
      </c>
      <c r="E27" s="10">
        <v>0.5</v>
      </c>
      <c r="F27" s="10">
        <v>0.5</v>
      </c>
      <c r="G27" s="10">
        <v>0.5</v>
      </c>
      <c r="H27" s="10">
        <v>0.5</v>
      </c>
      <c r="I27" s="10">
        <v>0.5</v>
      </c>
      <c r="J27" s="10">
        <v>0</v>
      </c>
      <c r="K27" s="10">
        <v>0.5</v>
      </c>
      <c r="L27" s="10">
        <v>0</v>
      </c>
      <c r="M27" s="10">
        <v>1</v>
      </c>
      <c r="N27" s="10">
        <v>1</v>
      </c>
      <c r="O27" s="10">
        <f t="shared" si="0"/>
        <v>7</v>
      </c>
      <c r="P27" s="10">
        <f t="shared" si="1"/>
        <v>12</v>
      </c>
      <c r="Q27" s="14">
        <f t="shared" si="2"/>
        <v>58.333333333333336</v>
      </c>
      <c r="R27" s="10" t="str">
        <f t="shared" si="3"/>
        <v>Moderate</v>
      </c>
    </row>
    <row r="28" spans="1:18">
      <c r="A28" s="11" t="s">
        <v>231</v>
      </c>
      <c r="B28" s="11">
        <v>2025</v>
      </c>
      <c r="C28" s="11">
        <v>1</v>
      </c>
      <c r="D28" s="11">
        <v>1</v>
      </c>
      <c r="E28" s="11">
        <v>1</v>
      </c>
      <c r="F28" s="11">
        <v>0.5</v>
      </c>
      <c r="G28" s="11">
        <v>0.5</v>
      </c>
      <c r="H28" s="11">
        <v>1</v>
      </c>
      <c r="I28" s="11">
        <v>1</v>
      </c>
      <c r="J28" s="11">
        <v>0.5</v>
      </c>
      <c r="K28" s="11">
        <v>0.5</v>
      </c>
      <c r="L28" s="11">
        <v>0.5</v>
      </c>
      <c r="M28" s="11">
        <v>1</v>
      </c>
      <c r="N28" s="11">
        <v>1</v>
      </c>
      <c r="O28" s="11">
        <f t="shared" si="0"/>
        <v>9.5</v>
      </c>
      <c r="P28" s="11">
        <f t="shared" si="1"/>
        <v>12</v>
      </c>
      <c r="Q28" s="13">
        <f t="shared" si="2"/>
        <v>79.166666666666657</v>
      </c>
      <c r="R28" s="11" t="str">
        <f t="shared" si="3"/>
        <v>High</v>
      </c>
    </row>
    <row r="29" spans="1:18">
      <c r="A29" s="10" t="s">
        <v>236</v>
      </c>
      <c r="B29" s="10">
        <v>2025</v>
      </c>
      <c r="C29" s="10">
        <v>1</v>
      </c>
      <c r="D29" s="10">
        <v>1</v>
      </c>
      <c r="E29" s="10">
        <v>1</v>
      </c>
      <c r="F29" s="10">
        <v>0.5</v>
      </c>
      <c r="G29" s="10">
        <v>0.5</v>
      </c>
      <c r="H29" s="10">
        <v>1</v>
      </c>
      <c r="I29" s="10">
        <v>1</v>
      </c>
      <c r="J29" s="10">
        <v>0.5</v>
      </c>
      <c r="K29" s="10">
        <v>0.5</v>
      </c>
      <c r="L29" s="10">
        <v>0.5</v>
      </c>
      <c r="M29" s="10">
        <v>1</v>
      </c>
      <c r="N29" s="10">
        <v>1</v>
      </c>
      <c r="O29" s="10">
        <f t="shared" si="0"/>
        <v>9.5</v>
      </c>
      <c r="P29" s="10">
        <f t="shared" si="1"/>
        <v>12</v>
      </c>
      <c r="Q29" s="14">
        <f t="shared" si="2"/>
        <v>79.166666666666657</v>
      </c>
      <c r="R29" s="10" t="str">
        <f t="shared" si="3"/>
        <v>High</v>
      </c>
    </row>
    <row r="30" spans="1:18">
      <c r="A30" s="11" t="s">
        <v>241</v>
      </c>
      <c r="B30" s="11">
        <v>2025</v>
      </c>
      <c r="C30" s="11">
        <v>1</v>
      </c>
      <c r="D30" s="11">
        <v>1</v>
      </c>
      <c r="E30" s="11">
        <v>0.5</v>
      </c>
      <c r="F30" s="11">
        <v>0.5</v>
      </c>
      <c r="G30" s="11">
        <v>0.5</v>
      </c>
      <c r="H30" s="11">
        <v>1</v>
      </c>
      <c r="I30" s="11">
        <v>1</v>
      </c>
      <c r="J30" s="11">
        <v>0.5</v>
      </c>
      <c r="K30" s="11">
        <v>1</v>
      </c>
      <c r="L30" s="11">
        <v>0</v>
      </c>
      <c r="M30" s="11">
        <v>1</v>
      </c>
      <c r="N30" s="11">
        <v>1</v>
      </c>
      <c r="O30" s="11">
        <f t="shared" si="0"/>
        <v>9</v>
      </c>
      <c r="P30" s="11">
        <f t="shared" si="1"/>
        <v>12</v>
      </c>
      <c r="Q30" s="13">
        <f t="shared" si="2"/>
        <v>75</v>
      </c>
      <c r="R30" s="11" t="str">
        <f t="shared" si="3"/>
        <v>High</v>
      </c>
    </row>
    <row r="31" spans="1:18">
      <c r="A31" s="10" t="s">
        <v>246</v>
      </c>
      <c r="B31" s="10">
        <v>2024</v>
      </c>
      <c r="C31" s="10">
        <v>1</v>
      </c>
      <c r="D31" s="10">
        <v>1</v>
      </c>
      <c r="E31" s="10">
        <v>0.5</v>
      </c>
      <c r="F31" s="10">
        <v>0.5</v>
      </c>
      <c r="G31" s="10">
        <v>0.5</v>
      </c>
      <c r="H31" s="10">
        <v>1</v>
      </c>
      <c r="I31" s="10">
        <v>1</v>
      </c>
      <c r="J31" s="10">
        <v>0.5</v>
      </c>
      <c r="K31" s="10">
        <v>1</v>
      </c>
      <c r="L31" s="10">
        <v>0</v>
      </c>
      <c r="M31" s="10">
        <v>1</v>
      </c>
      <c r="N31" s="10">
        <v>1</v>
      </c>
      <c r="O31" s="10">
        <f t="shared" si="0"/>
        <v>9</v>
      </c>
      <c r="P31" s="10">
        <f t="shared" si="1"/>
        <v>12</v>
      </c>
      <c r="Q31" s="14">
        <f t="shared" si="2"/>
        <v>75</v>
      </c>
      <c r="R31" s="10" t="str">
        <f t="shared" si="3"/>
        <v>High</v>
      </c>
    </row>
    <row r="32" spans="1:18">
      <c r="A32" s="11" t="s">
        <v>250</v>
      </c>
      <c r="B32" s="11">
        <v>2026</v>
      </c>
      <c r="C32" s="11">
        <v>1</v>
      </c>
      <c r="D32" s="11">
        <v>1</v>
      </c>
      <c r="E32" s="11">
        <v>1</v>
      </c>
      <c r="F32" s="11">
        <v>1</v>
      </c>
      <c r="G32" s="11">
        <v>1</v>
      </c>
      <c r="H32" s="11">
        <v>1</v>
      </c>
      <c r="I32" s="11">
        <v>1</v>
      </c>
      <c r="J32" s="11">
        <v>0.5</v>
      </c>
      <c r="K32" s="11">
        <v>1</v>
      </c>
      <c r="L32" s="11">
        <v>1</v>
      </c>
      <c r="M32" s="11">
        <v>1</v>
      </c>
      <c r="N32" s="11">
        <v>0.5</v>
      </c>
      <c r="O32" s="11">
        <f t="shared" si="0"/>
        <v>11</v>
      </c>
      <c r="P32" s="11">
        <f t="shared" si="1"/>
        <v>12</v>
      </c>
      <c r="Q32" s="13">
        <f t="shared" si="2"/>
        <v>91.666666666666657</v>
      </c>
      <c r="R32" s="11" t="str">
        <f t="shared" si="3"/>
        <v>High</v>
      </c>
    </row>
    <row r="33" spans="1:18">
      <c r="A33" s="10" t="s">
        <v>254</v>
      </c>
      <c r="B33" s="10">
        <v>2026</v>
      </c>
      <c r="C33" s="10">
        <v>1</v>
      </c>
      <c r="D33" s="10">
        <v>1</v>
      </c>
      <c r="E33" s="10">
        <v>1</v>
      </c>
      <c r="F33" s="10">
        <v>0.5</v>
      </c>
      <c r="G33" s="10">
        <v>0.5</v>
      </c>
      <c r="H33" s="10">
        <v>1</v>
      </c>
      <c r="I33" s="10">
        <v>0.5</v>
      </c>
      <c r="J33" s="10">
        <v>0.5</v>
      </c>
      <c r="K33" s="10">
        <v>1</v>
      </c>
      <c r="L33" s="10">
        <v>1</v>
      </c>
      <c r="M33" s="10">
        <v>0.5</v>
      </c>
      <c r="N33" s="10">
        <v>0.5</v>
      </c>
      <c r="O33" s="10">
        <f t="shared" si="0"/>
        <v>9</v>
      </c>
      <c r="P33" s="10">
        <f t="shared" si="1"/>
        <v>12</v>
      </c>
      <c r="Q33" s="14">
        <f t="shared" si="2"/>
        <v>75</v>
      </c>
      <c r="R33" s="10" t="str">
        <f t="shared" si="3"/>
        <v>High</v>
      </c>
    </row>
    <row r="34" spans="1:18">
      <c r="A34" s="11" t="s">
        <v>259</v>
      </c>
      <c r="B34" s="11">
        <v>2026</v>
      </c>
      <c r="C34" s="11">
        <v>1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1</v>
      </c>
      <c r="O34" s="11">
        <f t="shared" si="0"/>
        <v>12</v>
      </c>
      <c r="P34" s="11">
        <f t="shared" si="1"/>
        <v>12</v>
      </c>
      <c r="Q34" s="13">
        <f t="shared" si="2"/>
        <v>100</v>
      </c>
      <c r="R34" s="11" t="str">
        <f t="shared" si="3"/>
        <v>High</v>
      </c>
    </row>
    <row r="35" spans="1:18">
      <c r="A35" s="10" t="s">
        <v>264</v>
      </c>
      <c r="B35" s="10">
        <v>2026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0.5</v>
      </c>
      <c r="K35" s="10">
        <v>1</v>
      </c>
      <c r="L35" s="10">
        <v>0.5</v>
      </c>
      <c r="M35" s="10">
        <v>1</v>
      </c>
      <c r="N35" s="10">
        <v>1</v>
      </c>
      <c r="O35" s="10">
        <f t="shared" si="0"/>
        <v>11</v>
      </c>
      <c r="P35" s="10">
        <f t="shared" si="1"/>
        <v>12</v>
      </c>
      <c r="Q35" s="14">
        <f t="shared" si="2"/>
        <v>91.666666666666657</v>
      </c>
      <c r="R35" s="10" t="str">
        <f t="shared" si="3"/>
        <v>High</v>
      </c>
    </row>
    <row r="36" spans="1:18">
      <c r="A36" s="11" t="s">
        <v>268</v>
      </c>
      <c r="B36" s="11">
        <v>2026</v>
      </c>
      <c r="C36" s="11">
        <v>1</v>
      </c>
      <c r="D36" s="11">
        <v>1</v>
      </c>
      <c r="E36" s="11">
        <v>1</v>
      </c>
      <c r="F36" s="11">
        <v>1</v>
      </c>
      <c r="G36" s="11">
        <v>1</v>
      </c>
      <c r="H36" s="11">
        <v>1</v>
      </c>
      <c r="I36" s="11">
        <v>1</v>
      </c>
      <c r="J36" s="11">
        <v>0.5</v>
      </c>
      <c r="K36" s="11">
        <v>1</v>
      </c>
      <c r="L36" s="11">
        <v>1</v>
      </c>
      <c r="M36" s="11">
        <v>1</v>
      </c>
      <c r="N36" s="11">
        <v>1</v>
      </c>
      <c r="O36" s="11">
        <f t="shared" si="0"/>
        <v>11.5</v>
      </c>
      <c r="P36" s="11">
        <f t="shared" si="1"/>
        <v>12</v>
      </c>
      <c r="Q36" s="13">
        <f t="shared" si="2"/>
        <v>95.833333333333343</v>
      </c>
      <c r="R36" s="11" t="str">
        <f t="shared" si="3"/>
        <v>High</v>
      </c>
    </row>
    <row r="37" spans="1:18">
      <c r="A37" s="10" t="s">
        <v>272</v>
      </c>
      <c r="B37" s="10">
        <v>2026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0.5</v>
      </c>
      <c r="O37" s="10">
        <f t="shared" si="0"/>
        <v>11.5</v>
      </c>
      <c r="P37" s="10">
        <f t="shared" si="1"/>
        <v>12</v>
      </c>
      <c r="Q37" s="14">
        <f t="shared" si="2"/>
        <v>95.833333333333343</v>
      </c>
      <c r="R37" s="10" t="str">
        <f t="shared" si="3"/>
        <v>High</v>
      </c>
    </row>
    <row r="38" spans="1:18">
      <c r="A38" s="11" t="s">
        <v>276</v>
      </c>
      <c r="B38" s="11">
        <v>2026</v>
      </c>
      <c r="C38" s="11">
        <v>1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  <c r="O38" s="11">
        <f t="shared" si="0"/>
        <v>12</v>
      </c>
      <c r="P38" s="11">
        <f t="shared" si="1"/>
        <v>12</v>
      </c>
      <c r="Q38" s="13">
        <f t="shared" si="2"/>
        <v>100</v>
      </c>
      <c r="R38" s="11" t="str">
        <f t="shared" si="3"/>
        <v>High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showGridLines="0" workbookViewId="0">
      <pane ySplit="1" topLeftCell="A2" activePane="bottomLeft" state="frozen"/>
      <selection pane="bottomLeft" activeCell="B21" sqref="B21"/>
    </sheetView>
  </sheetViews>
  <sheetFormatPr defaultRowHeight="14.25"/>
  <cols>
    <col min="1" max="1" width="14" customWidth="1"/>
    <col min="2" max="2" width="96" customWidth="1"/>
  </cols>
  <sheetData>
    <row r="1" spans="1:2" ht="15" customHeight="1">
      <c r="A1" s="3" t="s">
        <v>522</v>
      </c>
      <c r="B1" s="3" t="s">
        <v>523</v>
      </c>
    </row>
    <row r="2" spans="1:2" ht="15" customHeight="1">
      <c r="A2" s="6" t="s">
        <v>507</v>
      </c>
      <c r="B2" s="6" t="s">
        <v>524</v>
      </c>
    </row>
    <row r="3" spans="1:2" ht="15" customHeight="1">
      <c r="A3" s="2" t="s">
        <v>508</v>
      </c>
      <c r="B3" s="2" t="s">
        <v>525</v>
      </c>
    </row>
    <row r="4" spans="1:2" ht="15" customHeight="1">
      <c r="A4" s="6" t="s">
        <v>509</v>
      </c>
      <c r="B4" s="6" t="s">
        <v>526</v>
      </c>
    </row>
    <row r="5" spans="1:2" ht="15" customHeight="1">
      <c r="A5" s="2" t="s">
        <v>510</v>
      </c>
      <c r="B5" s="2" t="s">
        <v>527</v>
      </c>
    </row>
    <row r="6" spans="1:2" ht="15" customHeight="1">
      <c r="A6" s="6" t="s">
        <v>511</v>
      </c>
      <c r="B6" s="6" t="s">
        <v>528</v>
      </c>
    </row>
    <row r="7" spans="1:2" ht="15" customHeight="1">
      <c r="A7" s="2" t="s">
        <v>512</v>
      </c>
      <c r="B7" s="2" t="s">
        <v>529</v>
      </c>
    </row>
    <row r="8" spans="1:2" ht="15" customHeight="1">
      <c r="A8" s="6" t="s">
        <v>513</v>
      </c>
      <c r="B8" s="6" t="s">
        <v>530</v>
      </c>
    </row>
    <row r="9" spans="1:2" ht="15" customHeight="1">
      <c r="A9" s="2" t="s">
        <v>514</v>
      </c>
      <c r="B9" s="2" t="s">
        <v>531</v>
      </c>
    </row>
    <row r="10" spans="1:2" ht="15" customHeight="1">
      <c r="A10" s="6" t="s">
        <v>515</v>
      </c>
      <c r="B10" s="6" t="s">
        <v>532</v>
      </c>
    </row>
    <row r="11" spans="1:2" ht="15" customHeight="1">
      <c r="A11" s="2" t="s">
        <v>516</v>
      </c>
      <c r="B11" s="2" t="s">
        <v>533</v>
      </c>
    </row>
    <row r="12" spans="1:2" ht="15" customHeight="1">
      <c r="A12" s="6" t="s">
        <v>517</v>
      </c>
      <c r="B12" s="6" t="s">
        <v>534</v>
      </c>
    </row>
    <row r="13" spans="1:2" ht="15" customHeight="1">
      <c r="A13" s="2" t="s">
        <v>518</v>
      </c>
      <c r="B13" s="2" t="s">
        <v>535</v>
      </c>
    </row>
    <row r="14" spans="1:2">
      <c r="A14" s="7"/>
      <c r="B14" s="7"/>
    </row>
    <row r="15" spans="1:2" ht="30">
      <c r="A15" s="4" t="s">
        <v>536</v>
      </c>
      <c r="B15" s="5" t="s">
        <v>537</v>
      </c>
    </row>
    <row r="16" spans="1:2" ht="15">
      <c r="A16" s="8" t="s">
        <v>538</v>
      </c>
      <c r="B16" s="9" t="s">
        <v>539</v>
      </c>
    </row>
    <row r="17" spans="1:2" ht="15">
      <c r="A17" s="4" t="s">
        <v>540</v>
      </c>
      <c r="B17" s="5" t="s">
        <v>541</v>
      </c>
    </row>
    <row r="18" spans="1:2" ht="15">
      <c r="A18" s="8" t="s">
        <v>542</v>
      </c>
      <c r="B18" s="9" t="s">
        <v>543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showGridLines="0" tabSelected="1" workbookViewId="0">
      <pane ySplit="1" topLeftCell="A2" activePane="bottomLeft" state="frozen"/>
      <selection pane="bottomLeft" activeCell="F9" sqref="F9"/>
    </sheetView>
  </sheetViews>
  <sheetFormatPr defaultRowHeight="14.25"/>
  <cols>
    <col min="1" max="1" width="34" customWidth="1"/>
    <col min="2" max="2" width="52" customWidth="1"/>
    <col min="3" max="3" width="14" customWidth="1"/>
    <col min="4" max="4" width="18" customWidth="1"/>
  </cols>
  <sheetData>
    <row r="1" spans="1:4" ht="15">
      <c r="A1" s="3" t="s">
        <v>544</v>
      </c>
      <c r="B1" s="3" t="s">
        <v>545</v>
      </c>
      <c r="C1" s="3" t="s">
        <v>546</v>
      </c>
      <c r="D1" s="3" t="s">
        <v>547</v>
      </c>
    </row>
    <row r="2" spans="1:4">
      <c r="A2" s="6" t="s">
        <v>548</v>
      </c>
      <c r="B2" s="6" t="s">
        <v>90</v>
      </c>
      <c r="C2" s="6">
        <v>25</v>
      </c>
      <c r="D2" s="15">
        <f>C2/COUNTA('Primary Studies'!$A$2:$A$38)</f>
        <v>0.67567567567567566</v>
      </c>
    </row>
    <row r="3" spans="1:4">
      <c r="A3" s="2" t="s">
        <v>548</v>
      </c>
      <c r="B3" s="2" t="s">
        <v>116</v>
      </c>
      <c r="C3" s="2">
        <v>21</v>
      </c>
      <c r="D3" s="16">
        <f>C3/COUNTA('Primary Studies'!$A$2:$A$38)</f>
        <v>0.56756756756756754</v>
      </c>
    </row>
    <row r="4" spans="1:4">
      <c r="A4" s="6" t="s">
        <v>548</v>
      </c>
      <c r="B4" s="6" t="s">
        <v>263</v>
      </c>
      <c r="C4" s="6">
        <v>21</v>
      </c>
      <c r="D4" s="15">
        <f>C4/COUNTA('Primary Studies'!$A$2:$A$38)</f>
        <v>0.56756756756756754</v>
      </c>
    </row>
    <row r="5" spans="1:4">
      <c r="A5" s="2" t="s">
        <v>548</v>
      </c>
      <c r="B5" s="2" t="s">
        <v>137</v>
      </c>
      <c r="C5" s="2">
        <v>13</v>
      </c>
      <c r="D5" s="16">
        <f>C5/COUNTA('Primary Studies'!$A$2:$A$38)</f>
        <v>0.35135135135135137</v>
      </c>
    </row>
    <row r="6" spans="1:4">
      <c r="A6" s="6" t="s">
        <v>548</v>
      </c>
      <c r="B6" s="6" t="s">
        <v>258</v>
      </c>
      <c r="C6" s="6">
        <v>14</v>
      </c>
      <c r="D6" s="15">
        <f>C6/COUNTA('Primary Studies'!$A$2:$A$38)</f>
        <v>0.3783783783783784</v>
      </c>
    </row>
    <row r="7" spans="1:4">
      <c r="A7" s="2" t="s">
        <v>548</v>
      </c>
      <c r="B7" s="2" t="s">
        <v>210</v>
      </c>
      <c r="C7" s="2">
        <v>14</v>
      </c>
      <c r="D7" s="16">
        <f>C7/COUNTA('Primary Studies'!$A$2:$A$38)</f>
        <v>0.3783783783783784</v>
      </c>
    </row>
    <row r="8" spans="1:4">
      <c r="A8" s="6" t="s">
        <v>549</v>
      </c>
      <c r="B8" s="6" t="s">
        <v>550</v>
      </c>
      <c r="C8" s="6">
        <v>27</v>
      </c>
      <c r="D8" s="15">
        <f>C8/COUNTA('Primary Studies'!$A$2:$A$38)</f>
        <v>0.72972972972972971</v>
      </c>
    </row>
    <row r="9" spans="1:4">
      <c r="A9" s="2" t="s">
        <v>549</v>
      </c>
      <c r="B9" s="2" t="s">
        <v>551</v>
      </c>
      <c r="C9" s="2">
        <v>25</v>
      </c>
      <c r="D9" s="16">
        <f>C9/COUNTA('Primary Studies'!$A$2:$A$38)</f>
        <v>0.67567567567567566</v>
      </c>
    </row>
    <row r="10" spans="1:4">
      <c r="A10" s="6" t="s">
        <v>549</v>
      </c>
      <c r="B10" s="6" t="s">
        <v>552</v>
      </c>
      <c r="C10" s="6">
        <v>21</v>
      </c>
      <c r="D10" s="15">
        <f>C10/COUNTA('Primary Studies'!$A$2:$A$38)</f>
        <v>0.56756756756756754</v>
      </c>
    </row>
    <row r="11" spans="1:4">
      <c r="A11" s="2" t="s">
        <v>549</v>
      </c>
      <c r="B11" s="2" t="s">
        <v>553</v>
      </c>
      <c r="C11" s="2">
        <v>18</v>
      </c>
      <c r="D11" s="16">
        <f>C11/COUNTA('Primary Studies'!$A$2:$A$38)</f>
        <v>0.48648648648648651</v>
      </c>
    </row>
    <row r="12" spans="1:4">
      <c r="A12" s="6" t="s">
        <v>549</v>
      </c>
      <c r="B12" s="6" t="s">
        <v>554</v>
      </c>
      <c r="C12" s="6">
        <v>14</v>
      </c>
      <c r="D12" s="15">
        <f>C12/COUNTA('Primary Studies'!$A$2:$A$38)</f>
        <v>0.3783783783783784</v>
      </c>
    </row>
    <row r="13" spans="1:4">
      <c r="A13" s="2" t="s">
        <v>549</v>
      </c>
      <c r="B13" s="2" t="s">
        <v>555</v>
      </c>
      <c r="C13" s="2">
        <v>11</v>
      </c>
      <c r="D13" s="16">
        <f>C13/COUNTA('Primary Studies'!$A$2:$A$38)</f>
        <v>0.29729729729729731</v>
      </c>
    </row>
    <row r="14" spans="1:4">
      <c r="A14" s="6" t="s">
        <v>549</v>
      </c>
      <c r="B14" s="6" t="s">
        <v>556</v>
      </c>
      <c r="C14" s="6">
        <v>9</v>
      </c>
      <c r="D14" s="15">
        <f>C14/COUNTA('Primary Studies'!$A$2:$A$38)</f>
        <v>0.24324324324324326</v>
      </c>
    </row>
    <row r="15" spans="1:4">
      <c r="A15" s="2" t="s">
        <v>549</v>
      </c>
      <c r="B15" s="2" t="s">
        <v>557</v>
      </c>
      <c r="C15" s="2">
        <v>9</v>
      </c>
      <c r="D15" s="16">
        <f>C15/COUNTA('Primary Studies'!$A$2:$A$38)</f>
        <v>0.24324324324324326</v>
      </c>
    </row>
    <row r="16" spans="1:4">
      <c r="A16" s="6" t="s">
        <v>558</v>
      </c>
      <c r="B16" s="6" t="s">
        <v>469</v>
      </c>
      <c r="C16" s="6">
        <v>36</v>
      </c>
      <c r="D16" s="15">
        <f>C16/COUNTA('Primary Studies'!$A$2:$A$38)</f>
        <v>0.97297297297297303</v>
      </c>
    </row>
    <row r="17" spans="1:4">
      <c r="A17" s="2" t="s">
        <v>558</v>
      </c>
      <c r="B17" s="2" t="s">
        <v>559</v>
      </c>
      <c r="C17" s="2">
        <v>29</v>
      </c>
      <c r="D17" s="16">
        <f>C17/COUNTA('Primary Studies'!$A$2:$A$38)</f>
        <v>0.78378378378378377</v>
      </c>
    </row>
    <row r="18" spans="1:4">
      <c r="A18" s="6" t="s">
        <v>558</v>
      </c>
      <c r="B18" s="6" t="s">
        <v>560</v>
      </c>
      <c r="C18" s="6">
        <v>27</v>
      </c>
      <c r="D18" s="15">
        <f>C18/COUNTA('Primary Studies'!$A$2:$A$38)</f>
        <v>0.72972972972972971</v>
      </c>
    </row>
    <row r="19" spans="1:4">
      <c r="A19" s="2" t="s">
        <v>558</v>
      </c>
      <c r="B19" s="2" t="s">
        <v>561</v>
      </c>
      <c r="C19" s="2">
        <v>26</v>
      </c>
      <c r="D19" s="16">
        <f>C19/COUNTA('Primary Studies'!$A$2:$A$38)</f>
        <v>0.70270270270270274</v>
      </c>
    </row>
    <row r="20" spans="1:4">
      <c r="A20" s="6" t="s">
        <v>558</v>
      </c>
      <c r="B20" s="6" t="s">
        <v>371</v>
      </c>
      <c r="C20" s="6">
        <v>22</v>
      </c>
      <c r="D20" s="15">
        <f>C20/COUNTA('Primary Studies'!$A$2:$A$38)</f>
        <v>0.59459459459459463</v>
      </c>
    </row>
    <row r="21" spans="1:4">
      <c r="A21" s="2" t="s">
        <v>558</v>
      </c>
      <c r="B21" s="2" t="s">
        <v>353</v>
      </c>
      <c r="C21" s="2">
        <v>24</v>
      </c>
      <c r="D21" s="16">
        <f>C21/COUNTA('Primary Studies'!$A$2:$A$38)</f>
        <v>0.64864864864864868</v>
      </c>
    </row>
    <row r="22" spans="1:4">
      <c r="A22" s="6" t="s">
        <v>558</v>
      </c>
      <c r="B22" s="6" t="s">
        <v>562</v>
      </c>
      <c r="C22" s="6">
        <v>20</v>
      </c>
      <c r="D22" s="15">
        <f>C22/COUNTA('Primary Studies'!$A$2:$A$38)</f>
        <v>0.54054054054054057</v>
      </c>
    </row>
    <row r="23" spans="1:4">
      <c r="A23" s="2" t="s">
        <v>558</v>
      </c>
      <c r="B23" s="2" t="s">
        <v>409</v>
      </c>
      <c r="C23" s="2">
        <v>18</v>
      </c>
      <c r="D23" s="16">
        <f>C23/COUNTA('Primary Studies'!$A$2:$A$38)</f>
        <v>0.48648648648648651</v>
      </c>
    </row>
    <row r="24" spans="1:4">
      <c r="A24" s="6" t="s">
        <v>558</v>
      </c>
      <c r="B24" s="6" t="s">
        <v>563</v>
      </c>
      <c r="C24" s="6">
        <v>9</v>
      </c>
      <c r="D24" s="15">
        <f>C24/COUNTA('Primary Studies'!$A$2:$A$38)</f>
        <v>0.24324324324324326</v>
      </c>
    </row>
    <row r="25" spans="1:4">
      <c r="A25" s="2" t="s">
        <v>558</v>
      </c>
      <c r="B25" s="2" t="s">
        <v>564</v>
      </c>
      <c r="C25" s="2">
        <v>2</v>
      </c>
      <c r="D25" s="16">
        <f>C25/COUNTA('Primary Studies'!$A$2:$A$38)</f>
        <v>5.4054054054054057E-2</v>
      </c>
    </row>
    <row r="26" spans="1:4">
      <c r="A26" s="6" t="s">
        <v>80</v>
      </c>
      <c r="B26" s="6" t="s">
        <v>142</v>
      </c>
      <c r="C26" s="6">
        <v>7</v>
      </c>
      <c r="D26" s="15">
        <f>C26/COUNTA('Primary Studies'!$A$2:$A$38)</f>
        <v>0.1891891891891892</v>
      </c>
    </row>
    <row r="27" spans="1:4">
      <c r="A27" s="2" t="s">
        <v>80</v>
      </c>
      <c r="B27" s="2" t="s">
        <v>130</v>
      </c>
      <c r="C27" s="2">
        <v>4</v>
      </c>
      <c r="D27" s="16">
        <f>C27/COUNTA('Primary Studies'!$A$2:$A$38)</f>
        <v>0.10810810810810811</v>
      </c>
    </row>
    <row r="28" spans="1:4">
      <c r="A28" s="6" t="s">
        <v>80</v>
      </c>
      <c r="B28" s="6" t="s">
        <v>93</v>
      </c>
      <c r="C28" s="6">
        <v>21</v>
      </c>
      <c r="D28" s="15">
        <f>C28/COUNTA('Primary Studies'!$A$2:$A$38)</f>
        <v>0.56756756756756754</v>
      </c>
    </row>
    <row r="29" spans="1:4">
      <c r="A29" s="2" t="s">
        <v>80</v>
      </c>
      <c r="B29" s="2" t="s">
        <v>110</v>
      </c>
      <c r="C29" s="2">
        <v>5</v>
      </c>
      <c r="D29" s="16">
        <f>C29/COUNTA('Primary Studies'!$A$2:$A$38)</f>
        <v>0.13513513513513514</v>
      </c>
    </row>
    <row r="30" spans="1:4">
      <c r="A30" s="7"/>
      <c r="B30" s="7"/>
      <c r="C30" s="7"/>
      <c r="D30" s="7"/>
    </row>
    <row r="31" spans="1:4" ht="15">
      <c r="A31" s="4" t="s">
        <v>565</v>
      </c>
      <c r="B31" s="5" t="s">
        <v>566</v>
      </c>
      <c r="C31" s="5"/>
      <c r="D31" s="5"/>
    </row>
    <row r="32" spans="1:4" ht="43.5">
      <c r="A32" s="8" t="s">
        <v>567</v>
      </c>
      <c r="B32" s="9" t="s">
        <v>568</v>
      </c>
      <c r="C32" s="9"/>
      <c r="D32" s="9"/>
    </row>
    <row r="33" spans="1:4" ht="29.25">
      <c r="A33" s="4" t="s">
        <v>569</v>
      </c>
      <c r="B33" s="5" t="s">
        <v>570</v>
      </c>
      <c r="C33" s="5"/>
      <c r="D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Read Me</vt:lpstr>
      <vt:lpstr>Selection Flow</vt:lpstr>
      <vt:lpstr>Primary Studies</vt:lpstr>
      <vt:lpstr>Study Classifications</vt:lpstr>
      <vt:lpstr>Quality Assessment</vt:lpstr>
      <vt:lpstr>QA Criteria</vt:lpstr>
      <vt:lpstr>Analytical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Arthur Schneider Aranda</cp:lastModifiedBy>
  <dcterms:modified xsi:type="dcterms:W3CDTF">2026-10-17T20:18:20Z</dcterms:modified>
</cp:coreProperties>
</file>